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Casos de prueba" sheetId="2" state="visible" r:id="rId4"/>
  </sheets>
  <definedNames>
    <definedName function="false" hidden="true" localSheetId="1" name="_xlnm._FilterDatabase" vbProcedure="false">'Casos de prueba'!$A$1:$N$108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<sst xmlns="http://schemas.openxmlformats.org/spreadsheetml/2006/main" count="1527" uniqueCount="767">
  <si>
    <t xml:space="preserve">Resumen de ejecución · Angie Tech</t>
  </si>
  <si>
    <t xml:space="preserve">Fecha: 2026-10-12 · Fuente: hoja de casos de uso compartida por la usuaria · Los conteos se calculan con fórmulas sobre la hoja «Casos de prueba».</t>
  </si>
  <si>
    <t xml:space="preserve">Estado</t>
  </si>
  <si>
    <t xml:space="preserve">Casos</t>
  </si>
  <si>
    <t xml:space="preserve">%</t>
  </si>
  <si>
    <t xml:space="preserve">Aprobado</t>
  </si>
  <si>
    <t xml:space="preserve">Corregido</t>
  </si>
  <si>
    <t xml:space="preserve">Corregido (falta ejecutar SQL 05)</t>
  </si>
  <si>
    <t xml:space="preserve">Fallido</t>
  </si>
  <si>
    <t xml:space="preserve">No ejecutado</t>
  </si>
  <si>
    <t xml:space="preserve">Total</t>
  </si>
  <si>
    <t xml:space="preserve">Módulo</t>
  </si>
  <si>
    <t xml:space="preserve">Aprobados</t>
  </si>
  <si>
    <t xml:space="preserve">Corregidos</t>
  </si>
  <si>
    <t xml:space="preserve">Fallidos / no ejecutados</t>
  </si>
  <si>
    <t xml:space="preserve">Autenticación y permisos</t>
  </si>
  <si>
    <t xml:space="preserve">Dashboard e Inicio</t>
  </si>
  <si>
    <t xml:space="preserve">Inventario</t>
  </si>
  <si>
    <t xml:space="preserve">Ventas y carrito</t>
  </si>
  <si>
    <t xml:space="preserve">Facturación</t>
  </si>
  <si>
    <t xml:space="preserve">Clientes</t>
  </si>
  <si>
    <t xml:space="preserve">Empleados y permisos</t>
  </si>
  <si>
    <t xml:space="preserve">Proveedores y compras</t>
  </si>
  <si>
    <t xml:space="preserve">Interfaz y experiencia</t>
  </si>
  <si>
    <t xml:space="preserve">Integridad y seguridad transversal</t>
  </si>
  <si>
    <t xml:space="preserve">ID</t>
  </si>
  <si>
    <t xml:space="preserve">Caso de prueba</t>
  </si>
  <si>
    <t xml:space="preserve">Precondiciones / datos</t>
  </si>
  <si>
    <t xml:space="preserve">Pasos de ejecución</t>
  </si>
  <si>
    <t xml:space="preserve">Resultado esperado</t>
  </si>
  <si>
    <t xml:space="preserve">Prioridad</t>
  </si>
  <si>
    <t xml:space="preserve">Rol</t>
  </si>
  <si>
    <t xml:space="preserve">Tipo</t>
  </si>
  <si>
    <t xml:space="preserve">Resultado obtenido</t>
  </si>
  <si>
    <t xml:space="preserve">Evidencia / defecto</t>
  </si>
  <si>
    <t xml:space="preserve">Ejecutado por</t>
  </si>
  <si>
    <t xml:space="preserve">Fecha de ejecución</t>
  </si>
  <si>
    <t xml:space="preserve">AUT-001</t>
  </si>
  <si>
    <t xml:space="preserve">Inicio de sesión válido como administrador</t>
  </si>
  <si>
    <t xml:space="preserve">Administrador activo.</t>
  </si>
  <si>
    <t xml:space="preserve">Abrir login; ingresar credenciales válidas; entrar.</t>
  </si>
  <si>
    <t xml:space="preserve">Accede al Inicio administrativo y ve módulos autorizados.</t>
  </si>
  <si>
    <t xml:space="preserve">Crítica</t>
  </si>
  <si>
    <t xml:space="preserve">Administrador</t>
  </si>
  <si>
    <t xml:space="preserve">Funcional</t>
  </si>
  <si>
    <t xml:space="preserve">UI: entra al Inicio administrativo «Administrador · Controla tu negocio» con módulos Inventario, Facturación, Clientes, Ventas, Ingresos, Gastos.</t>
  </si>
  <si>
    <t xml:space="preserve">Navegador localhost:5173</t>
  </si>
  <si>
    <t xml:space="preserve">Claude (QA automatizado)</t>
  </si>
  <si>
    <t xml:space="preserve">2026-10-12</t>
  </si>
  <si>
    <t xml:space="preserve">AUT-002</t>
  </si>
  <si>
    <t xml:space="preserve">Inicio de sesión válido como vendedor</t>
  </si>
  <si>
    <t xml:space="preserve">Vendedor activo.</t>
  </si>
  <si>
    <t xml:space="preserve">Accede al Inicio de vendedor sin información administrativa.</t>
  </si>
  <si>
    <t xml:space="preserve">Vendedor</t>
  </si>
  <si>
    <t xml:space="preserve">UI: entra a Inicio de vendedor «Vende de forma rápida»; sin ingresos globales, gastos, utilidad ni comisiones.</t>
  </si>
  <si>
    <t xml:space="preserve">Navegador</t>
  </si>
  <si>
    <t xml:space="preserve">AUT-003</t>
  </si>
  <si>
    <t xml:space="preserve">Contraseña incorrecta</t>
  </si>
  <si>
    <t xml:space="preserve">Usuario de QA existente.</t>
  </si>
  <si>
    <t xml:space="preserve">Ingresar correo válido y contraseña incorrecta.</t>
  </si>
  <si>
    <t xml:space="preserve">Deniega acceso y muestra mensaje claro.</t>
  </si>
  <si>
    <t xml:space="preserve">Alta</t>
  </si>
  <si>
    <t xml:space="preserve">Ambos</t>
  </si>
  <si>
    <t xml:space="preserve">Seguridad</t>
  </si>
  <si>
    <t xml:space="preserve">HTTP 400: Invalid login credentials; UI traduce a «Correo o contraseña incorrectos.»</t>
  </si>
  <si>
    <t xml:space="preserve">mensajeError() en format.js</t>
  </si>
  <si>
    <t xml:space="preserve">AUT-004</t>
  </si>
  <si>
    <t xml:space="preserve">Campos obligatorios vacíos</t>
  </si>
  <si>
    <t xml:space="preserve">Pantalla de login.</t>
  </si>
  <si>
    <t xml:space="preserve">Enviar formulario vacío.</t>
  </si>
  <si>
    <t xml:space="preserve">Indica campos obligatorios y no inicia sesión.</t>
  </si>
  <si>
    <t xml:space="preserve">Formulario vacío: el navegador marca «Completa este campo» en correo y contraseña; no inicia sesión (sigue en /login).</t>
  </si>
  <si>
    <t xml:space="preserve">validación required</t>
  </si>
  <si>
    <t xml:space="preserve">AUT-005</t>
  </si>
  <si>
    <t xml:space="preserve">Cerrar sesión</t>
  </si>
  <si>
    <t xml:space="preserve">Sesión iniciada.</t>
  </si>
  <si>
    <t xml:space="preserve">Cerrar sesión e intentar volver con Atrás.</t>
  </si>
  <si>
    <t xml:space="preserve">La sesión termina y las pantallas privadas exigen autenticación.</t>
  </si>
  <si>
    <t xml:space="preserve">Cerrar sesión → /login; Atrás → /login; abrir /facturas directo → /login; no queda token guardado.</t>
  </si>
  <si>
    <t xml:space="preserve">ProtectedRoute</t>
  </si>
  <si>
    <t xml:space="preserve">AUT-006</t>
  </si>
  <si>
    <t xml:space="preserve">Vendedor abre ruta administrativa</t>
  </si>
  <si>
    <t xml:space="preserve">Sesión de vendedor; ruta conocida.</t>
  </si>
  <si>
    <t xml:space="preserve">Abrir URL administrativa y probar API si aplica.</t>
  </si>
  <si>
    <t xml:space="preserve">Deniega acceso en interfaz y servidor; no filtra datos.</t>
  </si>
  <si>
    <t xml:space="preserve">movimientos:0; compras:0; pagos_proveedor:0; actividad:0; compra_items:0; movimientos_inventario:0; resumen_dashboard:400; productos(costos):0</t>
  </si>
  <si>
    <t xml:space="preserve">API REST con token de vendedor</t>
  </si>
  <si>
    <t xml:space="preserve">AUT-007</t>
  </si>
  <si>
    <t xml:space="preserve">Vendedor intenta editar precio o stock</t>
  </si>
  <si>
    <t xml:space="preserve">Vendedor sin permiso.</t>
  </si>
  <si>
    <t xml:space="preserve">Intentar editar desde UI y solicitud directa.</t>
  </si>
  <si>
    <t xml:space="preserve">Operación rechazada en servidor; datos intactos.</t>
  </si>
  <si>
    <t xml:space="preserve">PATCH precio → 200 filas=0; ajuste → 400 «No tienes permiso para modificar el inventario»; PATCH stock → 200; precio y stock intactos (3650000, 0)</t>
  </si>
  <si>
    <t xml:space="preserve">UI vendedor sin Editar/Cargar</t>
  </si>
  <si>
    <t xml:space="preserve">AUT-008</t>
  </si>
  <si>
    <t xml:space="preserve">Recuperación de contraseña</t>
  </si>
  <si>
    <t xml:space="preserve">Correo de QA habilitado.</t>
  </si>
  <si>
    <t xml:space="preserve">Solicitar recuperación y completar el flujo.</t>
  </si>
  <si>
    <t xml:space="preserve">Flujo funciona sin revelar datos sensibles de cuentas.</t>
  </si>
  <si>
    <t xml:space="preserve">Media</t>
  </si>
  <si>
    <t xml:space="preserve">Antes no existía: «¿Olvidaste tu contraseña?» solo decía «pídele al administrador», que no tenía cómo hacerlo. Ahora envía un enlace al correo y la página /restablecer permite crear la contraseña nueva (mínimo 8, confirmación). No revela si el correo existe. Probado hasta la pantalla de nueva contraseña; el correo real no se envió.</t>
  </si>
  <si>
    <t xml:space="preserve">Login.jsx, Restablecer.jsx. Requiere en Supabase &gt; Authentication &gt; URL Configuration agregar la URL de la app + /restablecer.</t>
  </si>
  <si>
    <t xml:space="preserve">AUT-009</t>
  </si>
  <si>
    <t xml:space="preserve">Acceso de empleado desactivado</t>
  </si>
  <si>
    <t xml:space="preserve">Empleado desactivado.</t>
  </si>
  <si>
    <t xml:space="preserve">Intentar iniciar sesión y usar sesión previa.</t>
  </si>
  <si>
    <t xml:space="preserve">Se bloquea el acceso según política de sesiones.</t>
  </si>
  <si>
    <t xml:space="preserve">Igual que EMP-002: el acceso a datos y operaciones queda bloqueado al instante, también con la sesión ya abierta.</t>
  </si>
  <si>
    <t xml:space="preserve">AUT-010</t>
  </si>
  <si>
    <t xml:space="preserve">Sesión expirada</t>
  </si>
  <si>
    <t xml:space="preserve">Token/sesión expirados en QA.</t>
  </si>
  <si>
    <t xml:space="preserve">Intentar navegar o guardar tras expirar.</t>
  </si>
  <si>
    <t xml:space="preserve">Solicita autenticación y no ejecuta operaciones protegidas.</t>
  </si>
  <si>
    <t xml:space="preserve">Lectura con token vencido → 401 «JWT cryptographic operation failed»; emitir factura → 401</t>
  </si>
  <si>
    <t xml:space="preserve">supabase-js refresca o devuelve a /login</t>
  </si>
  <si>
    <t xml:space="preserve">DAS-001</t>
  </si>
  <si>
    <t xml:space="preserve">Ventas del día</t>
  </si>
  <si>
    <t xml:space="preserve">Ventas en distintas fechas.</t>
  </si>
  <si>
    <t xml:space="preserve">Consultar total del día.</t>
  </si>
  <si>
    <t xml:space="preserve">Coincide con ventas del día y regla definida de estados.</t>
  </si>
  <si>
    <t xml:space="preserve">Dashboard hoy 26305000 / 3 facturas = recálculo 26305000 / 3 (solo emitidas, neto de devoluciones)</t>
  </si>
  <si>
    <t xml:space="preserve">resumen_dashboard vs facturas_netas</t>
  </si>
  <si>
    <t xml:space="preserve">DAS-002</t>
  </si>
  <si>
    <t xml:space="preserve">Filtro de ventas día/mes/año</t>
  </si>
  <si>
    <t xml:space="preserve">Ventas en varios períodos.</t>
  </si>
  <si>
    <t xml:space="preserve">Cambiar filtro y comparar resultados.</t>
  </si>
  <si>
    <t xml:space="preserve">Importe y contador corresponden al período seleccionado.</t>
  </si>
  <si>
    <t xml:space="preserve">Mes 75770000 (18 fact.), año 75770000; dashboard mes 75770000</t>
  </si>
  <si>
    <t xml:space="preserve">Recálculo por período</t>
  </si>
  <si>
    <t xml:space="preserve">DAS-003</t>
  </si>
  <si>
    <t xml:space="preserve">Ingresos y gastos</t>
  </si>
  <si>
    <t xml:space="preserve">Movimientos registrados.</t>
  </si>
  <si>
    <t xml:space="preserve">Comparar métricas con registros fuente.</t>
  </si>
  <si>
    <t xml:space="preserve">Valores correctos y no confundidos con ventas.</t>
  </si>
  <si>
    <t xml:space="preserve">Ingreso 7.000 → ingresos +7000; gasto 3.000 → gastos +3000; ventas sin cambio (+0). Movimientos QA eliminados.</t>
  </si>
  <si>
    <t xml:space="preserve">resumen_dashboard</t>
  </si>
  <si>
    <t xml:space="preserve">DAS-004</t>
  </si>
  <si>
    <t xml:space="preserve">Valor del inventario</t>
  </si>
  <si>
    <t xml:space="preserve">Productos con costos y stock diferentes.</t>
  </si>
  <si>
    <t xml:space="preserve">Consultar total y comparar fórmula acordada.</t>
  </si>
  <si>
    <t xml:space="preserve">Valor corresponde a regla aprobada, por ejemplo costo × stock.</t>
  </si>
  <si>
    <t xml:space="preserve">Valor inventario 24993500 = Σ costo × stock (24993500)</t>
  </si>
  <si>
    <t xml:space="preserve">Fórmula costo × stock de productos activos</t>
  </si>
  <si>
    <t xml:space="preserve">DAS-005</t>
  </si>
  <si>
    <t xml:space="preserve">Productos con stock bajo</t>
  </si>
  <si>
    <t xml:space="preserve">Productos debajo, igual y encima del mínimo.</t>
  </si>
  <si>
    <t xml:space="preserve">Consultar sección de stock bajo.</t>
  </si>
  <si>
    <t xml:space="preserve">Lista solo productos que cumplen la regla de mínimo.</t>
  </si>
  <si>
    <t xml:space="preserve">2 productos con stock ≤ mínimo (recálculo 2)</t>
  </si>
  <si>
    <t xml:space="preserve">vista stock_bajo</t>
  </si>
  <si>
    <t xml:space="preserve">DAS-006</t>
  </si>
  <si>
    <t xml:space="preserve">Ventas por empleado</t>
  </si>
  <si>
    <t xml:space="preserve">Dos vendedores con ventas.</t>
  </si>
  <si>
    <t xml:space="preserve">Filtrar reporte por período.</t>
  </si>
  <si>
    <t xml:space="preserve">Totales correctos por vendedor.</t>
  </si>
  <si>
    <t xml:space="preserve">Administrador de prueba: 41055000 (11 fact.); Vendedor de prueba: 28860000 (5 fact.); José Aldana: 5855000 (2 fact.) = recálculo por vendedor</t>
  </si>
  <si>
    <t xml:space="preserve">rpc ventas_por_empleado</t>
  </si>
  <si>
    <t xml:space="preserve">DAS-007</t>
  </si>
  <si>
    <t xml:space="preserve">Facturas realizadas</t>
  </si>
  <si>
    <t xml:space="preserve">Facturas emitidas/anuladas y fechas distintas.</t>
  </si>
  <si>
    <t xml:space="preserve">Comparar contador con regla de estados y período.</t>
  </si>
  <si>
    <t xml:space="preserve">Contador correcto según especificación.</t>
  </si>
  <si>
    <t xml:space="preserve">Contador del mes 18 = 18 emitidas (excluye 4 anuladas)</t>
  </si>
  <si>
    <t xml:space="preserve">DAS-008</t>
  </si>
  <si>
    <t xml:space="preserve">Dashboard sin movimientos</t>
  </si>
  <si>
    <t xml:space="preserve">Entorno QA vacío.</t>
  </si>
  <si>
    <t xml:space="preserve">Abrir dashboard.</t>
  </si>
  <si>
    <t xml:space="preserve">Muestra ceros/estados vacíos sin errores.</t>
  </si>
  <si>
    <t xml:space="preserve">Usabilidad</t>
  </si>
  <si>
    <t xml:space="preserve">Mes sin movimientos (mayo 2025): Ventas $0 · 0 facturas, Ingresos $0, Gastos $0, sin errores.</t>
  </si>
  <si>
    <t xml:space="preserve">Inicio admin, selector de mes</t>
  </si>
  <si>
    <t xml:space="preserve">DAS-009</t>
  </si>
  <si>
    <t xml:space="preserve">Datos limitados a ventas propias</t>
  </si>
  <si>
    <t xml:space="preserve">Entrar como vendedor A y consultar resumen.</t>
  </si>
  <si>
    <t xml:space="preserve">Solo muestra datos autorizados de A.</t>
  </si>
  <si>
    <t xml:space="preserve">El vendedor B no recibe ninguna venta del vendedor A (0 filas en facturas, ítems y resumen)</t>
  </si>
  <si>
    <t xml:space="preserve">DAS-010</t>
  </si>
  <si>
    <t xml:space="preserve">Ocultar métricas administrativas al vendedor</t>
  </si>
  <si>
    <t xml:space="preserve">Sesión vendedor.</t>
  </si>
  <si>
    <t xml:space="preserve">Revisar Inicio, menús y búsquedas.</t>
  </si>
  <si>
    <t xml:space="preserve">No muestra ingresos globales, gastos, utilidad, valor monetario de inventario, ventas de otros ni comisiones.</t>
  </si>
  <si>
    <t xml:space="preserve">Vendedor: Inicio, Inventario, Vender, Facturas, Historial, Clientes y Más sin «comisión», «utilidad», «gastos», «valor del inventario», «ingresos globales» ni costos. /finanzas, /proveedores, /empleados redirigen a Inicio.</t>
  </si>
  <si>
    <t xml:space="preserve">Búsqueda de texto en 9 pantallas</t>
  </si>
  <si>
    <t xml:space="preserve">DAS-011</t>
  </si>
  <si>
    <t xml:space="preserve">Últimas facturas del vendedor</t>
  </si>
  <si>
    <t xml:space="preserve">Facturas de varios vendedores.</t>
  </si>
  <si>
    <t xml:space="preserve">Consultar últimas facturas.</t>
  </si>
  <si>
    <t xml:space="preserve">Solo muestra facturas autorizadas por política.</t>
  </si>
  <si>
    <t xml:space="preserve">«Mis últimas facturas» muestra solo FV-0019…0023 del propio vendedor; el filtro por vendedor_id se aplica en servidor y cliente.</t>
  </si>
  <si>
    <t xml:space="preserve">sellerHome.js + RLS</t>
  </si>
  <si>
    <t xml:space="preserve">DAS-012</t>
  </si>
  <si>
    <t xml:space="preserve">Filtro de ventas propias</t>
  </si>
  <si>
    <t xml:space="preserve">Ventas del vendedor en distintos períodos.</t>
  </si>
  <si>
    <t xml:space="preserve">Cambiar día/mes/año.</t>
  </si>
  <si>
    <t xml:space="preserve">Refleja ventas propias del período elegido.</t>
  </si>
  <si>
    <t xml:space="preserve">Antes solo había Hoy / Esta semana / Este mes (faltaba año). Se agregó «Este año» con comparación vs. año anterior. Hoy $26.305.000 (3) · Mes y Año $28.860.000 (5) = API.</t>
  </si>
  <si>
    <t xml:space="preserve">InicioVendedor.jsx, sellerHome.js</t>
  </si>
  <si>
    <t xml:space="preserve">INV-001</t>
  </si>
  <si>
    <t xml:space="preserve">Crear producto válido</t>
  </si>
  <si>
    <t xml:space="preserve">Formulario disponible.</t>
  </si>
  <si>
    <t xml:space="preserve">Completar campos obligatorios y guardar.</t>
  </si>
  <si>
    <t xml:space="preserve">Producto guardado y visible en inventario.</t>
  </si>
  <si>
    <t xml:space="preserve">Administrador / Vendedor</t>
  </si>
  <si>
    <t xml:space="preserve">Productos creados: QA-FUNDA-IP15-NEG y QA-CABLE-USBC</t>
  </si>
  <si>
    <t xml:space="preserve">POST productos (admin)</t>
  </si>
  <si>
    <t xml:space="preserve">INV-002</t>
  </si>
  <si>
    <t xml:space="preserve">Crear producto sin foto</t>
  </si>
  <si>
    <t xml:space="preserve">Imagen opcional.</t>
  </si>
  <si>
    <t xml:space="preserve">Crear producto sin adjuntar imagen.</t>
  </si>
  <si>
    <t xml:space="preserve">Permite guardar y muestra placeholder uniforme.</t>
  </si>
  <si>
    <t xml:space="preserve">Guardado sin foto_url (null); la tarjeta usa el placeholder común</t>
  </si>
  <si>
    <t xml:space="preserve">foto_url null</t>
  </si>
  <si>
    <t xml:space="preserve">INV-003</t>
  </si>
  <si>
    <t xml:space="preserve">Validar campos obligatorios</t>
  </si>
  <si>
    <t xml:space="preserve">Formulario producto.</t>
  </si>
  <si>
    <t xml:space="preserve">Omitir nombre u otro campo obligatorio y guardar.</t>
  </si>
  <si>
    <t xml:space="preserve">Muestra validaciones y no guarda datos inválidos.</t>
  </si>
  <si>
    <t xml:space="preserve">Sin nombre → HTTP 400 «null value in column "nombre" of relation "productos" violates not-null constraint»</t>
  </si>
  <si>
    <t xml:space="preserve">NOT NULL nombre + validación del formulario</t>
  </si>
  <si>
    <t xml:space="preserve">INV-004</t>
  </si>
  <si>
    <t xml:space="preserve">Generar SKU único</t>
  </si>
  <si>
    <t xml:space="preserve">SKU automático habilitado.</t>
  </si>
  <si>
    <t xml:space="preserve">Crear dos productos y comparar SKU.</t>
  </si>
  <si>
    <t xml:space="preserve">Cada producto tiene SKU único.</t>
  </si>
  <si>
    <t xml:space="preserve">Segundo producto con el mismo SKU → HTTP 409 «duplicate key value violates unique constraint "productos_codigo_key"». La UI además busca un código libre (sufijo).</t>
  </si>
  <si>
    <t xml:space="preserve">unique(productos.codigo) + codigoLibre() en ProductoForm</t>
  </si>
  <si>
    <t xml:space="preserve">INV-005</t>
  </si>
  <si>
    <t xml:space="preserve">Editar datos del producto</t>
  </si>
  <si>
    <t xml:space="preserve">Producto existente.</t>
  </si>
  <si>
    <t xml:space="preserve">Editar nombre/marca/modelo y guardar.</t>
  </si>
  <si>
    <t xml:space="preserve">Cambios persisten y se muestran correctamente.</t>
  </si>
  <si>
    <t xml:space="preserve">Tras editar y releer: {'nombre': 'QA Funda iPhone 15 Pro', 'marca': 'QA Marca', 'modelo': 'iPhone 15 Pro'}</t>
  </si>
  <si>
    <t xml:space="preserve">PATCH + GET</t>
  </si>
  <si>
    <t xml:space="preserve">INV-006</t>
  </si>
  <si>
    <t xml:space="preserve">Guardar precios de compra y venta</t>
  </si>
  <si>
    <t xml:space="preserve">Producto nuevo/editable.</t>
  </si>
  <si>
    <t xml:space="preserve">Ingresar importes válidos y guardar.</t>
  </si>
  <si>
    <t xml:space="preserve">Importes correctos y visibles según permisos.</t>
  </si>
  <si>
    <t xml:space="preserve">Admin ve compra 1000 / venta 5000; vendedor ve solo precio_venta 5000</t>
  </si>
  <si>
    <t xml:space="preserve">vista productos_venta sin costos</t>
  </si>
  <si>
    <t xml:space="preserve">INV-007</t>
  </si>
  <si>
    <t xml:space="preserve">Categoría y compatibilidad</t>
  </si>
  <si>
    <t xml:space="preserve">Categorías disponibles.</t>
  </si>
  <si>
    <t xml:space="preserve">Crear funda para modelo específico y buscarla.</t>
  </si>
  <si>
    <t xml:space="preserve">Categoría, marca y compatibilidad se conservan.</t>
  </si>
  <si>
    <t xml:space="preserve">Búsqueda por modelo «iPhone 15»: [('QA Funda iPhone 15 Pro', 'Fundas', 'iPhone 15 Pro')]</t>
  </si>
  <si>
    <t xml:space="preserve">Categoría Fundas + modelo compatible</t>
  </si>
  <si>
    <t xml:space="preserve">INV-008</t>
  </si>
  <si>
    <t xml:space="preserve">Buscar por nombre, SKU o marca</t>
  </si>
  <si>
    <t xml:space="preserve">Varios productos.</t>
  </si>
  <si>
    <t xml:space="preserve">Buscar por cada campo.</t>
  </si>
  <si>
    <t xml:space="preserve">Devuelve coincidencias correctas.</t>
  </si>
  <si>
    <t xml:space="preserve">Coincidencias por nombre:1, codigo:1, marca:2</t>
  </si>
  <si>
    <t xml:space="preserve">Buscador de Inventario filtra nombre, SKU y marca</t>
  </si>
  <si>
    <t xml:space="preserve">INV-009</t>
  </si>
  <si>
    <t xml:space="preserve">Filtros de categoría y stock</t>
  </si>
  <si>
    <t xml:space="preserve">Productos de varias categorías y estados.</t>
  </si>
  <si>
    <t xml:space="preserve">Aplicar filtros.</t>
  </si>
  <si>
    <t xml:space="preserve">Solo aparecen productos que cumplen criterios.</t>
  </si>
  <si>
    <t xml:space="preserve">Filtro Fundas → 2 productos, todos Fundas</t>
  </si>
  <si>
    <t xml:space="preserve">Hoja de filtros (categoría, marca, agotado/bajo)</t>
  </si>
  <si>
    <t xml:space="preserve">INV-010</t>
  </si>
  <si>
    <t xml:space="preserve">Ingreso de mercancía</t>
  </si>
  <si>
    <t xml:space="preserve">Producto existente y cantidad válida.</t>
  </si>
  <si>
    <t xml:space="preserve">Registrar ingreso y consultar stock/movimientos.</t>
  </si>
  <si>
    <t xml:space="preserve">Stock aumenta correctamente y queda trazabilidad.</t>
  </si>
  <si>
    <t xml:space="preserve">Ingreso +2 → stock 10→12; movimiento 36</t>
  </si>
  <si>
    <t xml:space="preserve">Cargar unidades &gt; Otro origen</t>
  </si>
  <si>
    <t xml:space="preserve">INV-011</t>
  </si>
  <si>
    <t xml:space="preserve">Salida de mercancía</t>
  </si>
  <si>
    <t xml:space="preserve">Stock suficiente.</t>
  </si>
  <si>
    <t xml:space="preserve">Registrar salida y revisar historial.</t>
  </si>
  <si>
    <t xml:space="preserve">Stock disminuye correctamente y movimiento queda registrado.</t>
  </si>
  <si>
    <t xml:space="preserve">Salida -1 → stock 12→11; movimiento 37</t>
  </si>
  <si>
    <t xml:space="preserve">ajustar_inventario ajuste_salida</t>
  </si>
  <si>
    <t xml:space="preserve">INV-012</t>
  </si>
  <si>
    <t xml:space="preserve">Evitar stock negativo</t>
  </si>
  <si>
    <t xml:space="preserve">Stock limitado.</t>
  </si>
  <si>
    <t xml:space="preserve">Intentar salida mayor a stock.</t>
  </si>
  <si>
    <t xml:space="preserve">Bloquea operación salvo regla explícita distinta.</t>
  </si>
  <si>
    <t xml:space="preserve">Salida de 500 → HTTP 400 «Stock insuficiente para el producto 6 (disponible 11, solicitado 500)»; stock sigue en 11</t>
  </si>
  <si>
    <t xml:space="preserve">trigger aplicar_movimiento_inventario</t>
  </si>
  <si>
    <t xml:space="preserve">INV-013</t>
  </si>
  <si>
    <t xml:space="preserve">Vendedor no modifica stock</t>
  </si>
  <si>
    <t xml:space="preserve">Intentar modificar stock por UI y API.</t>
  </si>
  <si>
    <t xml:space="preserve">Operación rechazada y stock intacto.</t>
  </si>
  <si>
    <t xml:space="preserve">Ajuste por API rechazado: «No tienes permiso para modificar el inventario»; stock intacto (0)</t>
  </si>
  <si>
    <t xml:space="preserve">UI vendedor sin botón Cargar</t>
  </si>
  <si>
    <t xml:space="preserve">INV-014</t>
  </si>
  <si>
    <t xml:space="preserve">Alerta de stock mínimo</t>
  </si>
  <si>
    <t xml:space="preserve">Producto con mínimo configurado.</t>
  </si>
  <si>
    <t xml:space="preserve">Cambiar stock por debajo/igual/encima del mínimo.</t>
  </si>
  <si>
    <t xml:space="preserve">Estado de alerta sigue la regla configurada.</t>
  </si>
  <si>
    <t xml:space="preserve">Alerta: stock 5 (&gt; mín 3) → sin alerta, stock 3 (= mín) → alerta, stock 2 (&lt; mín) → alerta, stock 5 (&gt; mín) → sin alerta</t>
  </si>
  <si>
    <t xml:space="preserve">vista stock_bajo (stock &lt;= stock_min)</t>
  </si>
  <si>
    <t xml:space="preserve">INV-015</t>
  </si>
  <si>
    <t xml:space="preserve">Movimientos y garantías</t>
  </si>
  <si>
    <t xml:space="preserve">Producto con historial y garantía.</t>
  </si>
  <si>
    <t xml:space="preserve">Consultar historial y garantía.</t>
  </si>
  <si>
    <t xml:space="preserve">Muestra movimientos y datos asociados cuando existan.</t>
  </si>
  <si>
    <t xml:space="preserve">Garantía {'inicio': '2026-10-12', 'fin': '2027-04-12', 'estado': 'vigente'}; historial con 4 movimientos (ajuste_entrada, ajuste_salida, entrada_compra, salida_venta)</t>
  </si>
  <si>
    <t xml:space="preserve">garantias + movimientos_inventario</t>
  </si>
  <si>
    <t xml:space="preserve">INV-016</t>
  </si>
  <si>
    <t xml:space="preserve">SKU duplicado o alterado</t>
  </si>
  <si>
    <t xml:space="preserve">SKU automático.</t>
  </si>
  <si>
    <t xml:space="preserve">Intentar duplicar/modificar SKU sin permiso.</t>
  </si>
  <si>
    <t xml:space="preserve">Se conserva unicidad y restricciones.</t>
  </si>
  <si>
    <t xml:space="preserve">Vendedor cambia SKU → 200 filas 0; admin pone SKU repetido → 409 «duplicate key value violates unique constraint "productos_codigo_key"»</t>
  </si>
  <si>
    <t xml:space="preserve">RLS productos_update + unique</t>
  </si>
  <si>
    <t xml:space="preserve">INV-017</t>
  </si>
  <si>
    <t xml:space="preserve">Validar precios inválidos</t>
  </si>
  <si>
    <t xml:space="preserve">Ingresar precio negativo o formato inválido.</t>
  </si>
  <si>
    <t xml:space="preserve">Impide guardar importes inválidos.</t>
  </si>
  <si>
    <t xml:space="preserve">Precio -100 → HTTP 400 «new row for relation "productos" violates check constraint "productos_precio_venta_check"»</t>
  </si>
  <si>
    <t xml:space="preserve">check (precio_venta &gt;= 0); MoneyInput solo admite dígitos</t>
  </si>
  <si>
    <t xml:space="preserve">INV-018</t>
  </si>
  <si>
    <t xml:space="preserve">Persistencia de producto</t>
  </si>
  <si>
    <t xml:space="preserve">Producto guardado.</t>
  </si>
  <si>
    <t xml:space="preserve">Recargar y volver a entrar.</t>
  </si>
  <si>
    <t xml:space="preserve">Producto y datos permanecen guardados.</t>
  </si>
  <si>
    <t xml:space="preserve">Producto QA sigue guardado tras nueva sesión: QA Funda iPhone 15 Pro</t>
  </si>
  <si>
    <t xml:space="preserve">VEN-001</t>
  </si>
  <si>
    <t xml:space="preserve">Iniciar nueva venta</t>
  </si>
  <si>
    <t xml:space="preserve">Sesión autorizada.</t>
  </si>
  <si>
    <t xml:space="preserve">Seleccionar Nueva venta.</t>
  </si>
  <si>
    <t xml:space="preserve">Abre flujo sin errores.</t>
  </si>
  <si>
    <t xml:space="preserve">Nueva venta abre el punto de venta con «Tus más vendidos», categorías, marcas y buscador; sin errores.</t>
  </si>
  <si>
    <t xml:space="preserve">/vender</t>
  </si>
  <si>
    <t xml:space="preserve">VEN-002</t>
  </si>
  <si>
    <t xml:space="preserve">Agregar producto al carrito</t>
  </si>
  <si>
    <t xml:space="preserve">Producto activo con stock.</t>
  </si>
  <si>
    <t xml:space="preserve">Buscar y agregar producto.</t>
  </si>
  <si>
    <t xml:space="preserve">Precio, cantidad y subtotal correctos.</t>
  </si>
  <si>
    <t xml:space="preserve">Ítems: [(6, 2, 5000), (7, 1, 3000)]; subtotal 2×5.000 + 1×3.000 = 13000</t>
  </si>
  <si>
    <t xml:space="preserve">Precio tomado del servidor</t>
  </si>
  <si>
    <t xml:space="preserve">VEN-003</t>
  </si>
  <si>
    <t xml:space="preserve">Cambiar cantidad</t>
  </si>
  <si>
    <t xml:space="preserve">Producto en carrito y stock suficiente.</t>
  </si>
  <si>
    <t xml:space="preserve">Aumentar y reducir cantidad.</t>
  </si>
  <si>
    <t xml:space="preserve">Subtotales y total se recalculan correctamente.</t>
  </si>
  <si>
    <t xml:space="preserve">+ / − recalculan: 2 → $10.000; tope en 11 = stock disponible ($55.000); al bajar vuelve a $10.000.</t>
  </si>
  <si>
    <t xml:space="preserve">Carrito POS</t>
  </si>
  <si>
    <t xml:space="preserve">VEN-004</t>
  </si>
  <si>
    <t xml:space="preserve">Evitar vender más del stock</t>
  </si>
  <si>
    <t xml:space="preserve">Intentar agregar cantidad superior a disponible.</t>
  </si>
  <si>
    <t xml:space="preserve">Bloquea exceso y explica el motivo.</t>
  </si>
  <si>
    <t xml:space="preserve">Pedir 6 con stock 5 → HTTP 400 «Stock insuficiente para el producto 7 (disponible 5, solicitado 6)». En la UI el selector de cantidad se limita al stock.</t>
  </si>
  <si>
    <t xml:space="preserve">trigger de stock + POS</t>
  </si>
  <si>
    <t xml:space="preserve">VEN-005</t>
  </si>
  <si>
    <t xml:space="preserve">Eliminar producto del carrito</t>
  </si>
  <si>
    <t xml:space="preserve">Carrito con varios productos.</t>
  </si>
  <si>
    <t xml:space="preserve">Eliminar una línea.</t>
  </si>
  <si>
    <t xml:space="preserve">Actualiza carrito y totales.</t>
  </si>
  <si>
    <t xml:space="preserve">Quitar línea pide confirmación y actualiza: 3 productos $13.000 → 2 productos $10.000. Se corrigió la tilde «Se quitarán».</t>
  </si>
  <si>
    <t xml:space="preserve">Vender.jsx</t>
  </si>
  <si>
    <t xml:space="preserve">VEN-006</t>
  </si>
  <si>
    <t xml:space="preserve">Asociar cliente</t>
  </si>
  <si>
    <t xml:space="preserve">Cliente existente o creación disponible.</t>
  </si>
  <si>
    <t xml:space="preserve">Buscar y seleccionar cliente.</t>
  </si>
  <si>
    <t xml:space="preserve">Venta queda asociada al cliente correcto.</t>
  </si>
  <si>
    <t xml:space="preserve">Factura asociada al cliente 6 (QA Cliente Pruebas)</t>
  </si>
  <si>
    <t xml:space="preserve">facturas.cliente_id</t>
  </si>
  <si>
    <t xml:space="preserve">VEN-007</t>
  </si>
  <si>
    <t xml:space="preserve">Confirmar venta válida</t>
  </si>
  <si>
    <t xml:space="preserve">Carrito válido y campos completos.</t>
  </si>
  <si>
    <t xml:space="preserve">Confirmar una vez y revisar venta/factura.</t>
  </si>
  <si>
    <t xml:space="preserve">Registra venta y genera factura una sola vez.</t>
  </si>
  <si>
    <t xml:space="preserve">Factura FV19 (id 22) total 13000, cliente 6, vendedor propio</t>
  </si>
  <si>
    <t xml:space="preserve">rpc emitir_factura</t>
  </si>
  <si>
    <t xml:space="preserve">VEN-008</t>
  </si>
  <si>
    <t xml:space="preserve">Cancelar antes de confirmar</t>
  </si>
  <si>
    <t xml:space="preserve">Venta en curso.</t>
  </si>
  <si>
    <t xml:space="preserve">Cancelar o salir.</t>
  </si>
  <si>
    <t xml:space="preserve">No registra venta ni descuenta stock definitivamente.</t>
  </si>
  <si>
    <t xml:space="preserve">Vaciar o quitar productos no toca el servidor; el stock solo bajó al confirmar la venta (11 → 9).</t>
  </si>
  <si>
    <t xml:space="preserve">Carrito local</t>
  </si>
  <si>
    <t xml:space="preserve">VEN-009</t>
  </si>
  <si>
    <t xml:space="preserve">Confirmar con datos incompletos</t>
  </si>
  <si>
    <t xml:space="preserve">Campo obligatorio faltante.</t>
  </si>
  <si>
    <t xml:space="preserve">Confirmar venta.</t>
  </si>
  <si>
    <t xml:space="preserve">No completa operación; informa qué falta.</t>
  </si>
  <si>
    <t xml:space="preserve">Sin productos → «La factura necesita al menos un producto». La app exige cliente («Falta el cliente»), pero el servidor aceptaba venta sin cliente. Corregido en emitir_factura_segura (script 05).</t>
  </si>
  <si>
    <t xml:space="preserve">supabase/05_reglas_venta_y_auditoria.sql · Script 05 ejecutado y verificado el 12-oct.</t>
  </si>
  <si>
    <t xml:space="preserve">VEN-010</t>
  </si>
  <si>
    <t xml:space="preserve">Doble clic al confirmar</t>
  </si>
  <si>
    <t xml:space="preserve">Venta válida.</t>
  </si>
  <si>
    <t xml:space="preserve">Pulsar confirmar varias veces o reintentar.</t>
  </si>
  <si>
    <t xml:space="preserve">No duplica venta, factura ni movimientos.</t>
  </si>
  <si>
    <t xml:space="preserve">Triple clic en «Cobrar»: se creó una sola factura (FV-0023). El botón se bloquea al primer toque.</t>
  </si>
  <si>
    <t xml:space="preserve">useAction (bloqueo síncrono)</t>
  </si>
  <si>
    <t xml:space="preserve">VEN-011</t>
  </si>
  <si>
    <t xml:space="preserve">Venta de varios productos</t>
  </si>
  <si>
    <t xml:space="preserve">Carrito con referencias distintas.</t>
  </si>
  <si>
    <t xml:space="preserve">Confirmar y verificar existencias.</t>
  </si>
  <si>
    <t xml:space="preserve">Descuenta cantidades correctas de todos los productos.</t>
  </si>
  <si>
    <t xml:space="preserve">Stock A 11→9 (−2), B 5→4 (−1)</t>
  </si>
  <si>
    <t xml:space="preserve">movimientos salida_venta</t>
  </si>
  <si>
    <t xml:space="preserve">VEN-012</t>
  </si>
  <si>
    <t xml:space="preserve">Aislar ventas por vendedor</t>
  </si>
  <si>
    <t xml:space="preserve">Consultar Mis ventas como A.</t>
  </si>
  <si>
    <t xml:space="preserve">Solo muestra ventas autorizadas de A.</t>
  </si>
  <si>
    <t xml:space="preserve">Vendedor B: facturas 0, ítems de la factura de A 0, ventas_por_empleado []</t>
  </si>
  <si>
    <t xml:space="preserve">RLS facturas_select</t>
  </si>
  <si>
    <t xml:space="preserve">VEN-013</t>
  </si>
  <si>
    <t xml:space="preserve">Descuentos e impuestos</t>
  </si>
  <si>
    <t xml:space="preserve">Solo si están implementados.</t>
  </si>
  <si>
    <t xml:space="preserve">Aplicar descuento/impuesto y calcular.</t>
  </si>
  <si>
    <t xml:space="preserve">Respeta reglas y redondeo configurados.</t>
  </si>
  <si>
    <t xml:space="preserve">Vendedor sin permiso: «No tienes permiso para aplicar descuentos»; admin descuento 1.000 sobre 3.000 → total 2000; descuento mayor al subtotal: «El descuento no puede superar el subtotal». No hay impuestos implementados.</t>
  </si>
  <si>
    <t xml:space="preserve">emitir_factura</t>
  </si>
  <si>
    <t xml:space="preserve">VEN-014</t>
  </si>
  <si>
    <t xml:space="preserve">Fallo de red al confirmar</t>
  </si>
  <si>
    <t xml:space="preserve">Venta válida y simulación de red.</t>
  </si>
  <si>
    <t xml:space="preserve">Interrumpir red, reintentar y consultar.</t>
  </si>
  <si>
    <t xml:space="preserve">No duplica operación e informa estado real.</t>
  </si>
  <si>
    <t xml:space="preserve">Repetir la misma solicitud tras un corte creaba 2 facturas (FV-0021 y FV-0022, anuladas). Ahora la app envía una clave por venta y el servidor devuelve la misma factura en el reintento.</t>
  </si>
  <si>
    <t xml:space="preserve">Vender.jsx + script 05 · Script 05 ejecutado y verificado el 12-oct.</t>
  </si>
  <si>
    <t xml:space="preserve">FAC-001</t>
  </si>
  <si>
    <t xml:space="preserve">Generar factura de venta</t>
  </si>
  <si>
    <t xml:space="preserve">Venta confirmada.</t>
  </si>
  <si>
    <t xml:space="preserve">Abrir factura y comparar con venta.</t>
  </si>
  <si>
    <t xml:space="preserve">Número único y datos/importes coinciden.</t>
  </si>
  <si>
    <t xml:space="preserve">Número único FV19; ítems y total (13.000) coinciden con la venta</t>
  </si>
  <si>
    <t xml:space="preserve">unique(prefijo, numero)</t>
  </si>
  <si>
    <t xml:space="preserve">FAC-002</t>
  </si>
  <si>
    <t xml:space="preserve">Consultar facturas emitidas</t>
  </si>
  <si>
    <t xml:space="preserve">Facturas de QA existentes.</t>
  </si>
  <si>
    <t xml:space="preserve">Abrir listado.</t>
  </si>
  <si>
    <t xml:space="preserve">Muestra facturas permitidas por rol.</t>
  </si>
  <si>
    <t xml:space="preserve">Vendedor A ve 6 facturas propias; admin ve todas</t>
  </si>
  <si>
    <t xml:space="preserve">RLS por rol</t>
  </si>
  <si>
    <t xml:space="preserve">FAC-003</t>
  </si>
  <si>
    <t xml:space="preserve">Buscar por número</t>
  </si>
  <si>
    <t xml:space="preserve">Factura existente.</t>
  </si>
  <si>
    <t xml:space="preserve">Buscar número completo/parcial.</t>
  </si>
  <si>
    <t xml:space="preserve">Encuentra factura correcta.</t>
  </si>
  <si>
    <t xml:space="preserve">Historial: «19», «0019» y «FV-0019» encuentran FV-0019.</t>
  </si>
  <si>
    <t xml:space="preserve">FacturasHistorial</t>
  </si>
  <si>
    <t xml:space="preserve">FAC-004</t>
  </si>
  <si>
    <t xml:space="preserve">Buscar por cliente o monto</t>
  </si>
  <si>
    <t xml:space="preserve">Facturas variadas.</t>
  </si>
  <si>
    <t xml:space="preserve">Buscar por cliente y monto.</t>
  </si>
  <si>
    <t xml:space="preserve">Resultados coinciden con búsqueda.</t>
  </si>
  <si>
    <t xml:space="preserve">Por cliente funcionaba; por monto solo sin puntos («13000»). Ahora «13.000» y «$13.000» también encuentran la factura.</t>
  </si>
  <si>
    <t xml:space="preserve">FacturasHistorial.jsx</t>
  </si>
  <si>
    <t xml:space="preserve">FAC-005</t>
  </si>
  <si>
    <t xml:space="preserve">Filtrar por estado</t>
  </si>
  <si>
    <t xml:space="preserve">Facturas emitidas y anuladas.</t>
  </si>
  <si>
    <t xml:space="preserve">Cada filtro muestra estados correctos.</t>
  </si>
  <si>
    <t xml:space="preserve">Filtro Anuladas → 4 (todas anuladas); Emitidas → 19 (ninguna anulada); Tarjeta → 1.</t>
  </si>
  <si>
    <t xml:space="preserve">Hoja de filtros</t>
  </si>
  <si>
    <t xml:space="preserve">FAC-006</t>
  </si>
  <si>
    <t xml:space="preserve">Descargar PDF</t>
  </si>
  <si>
    <t xml:space="preserve">Factura válida.</t>
  </si>
  <si>
    <t xml:space="preserve">Descargar y abrir PDF.</t>
  </si>
  <si>
    <t xml:space="preserve">Documento legible, completo y correcto.</t>
  </si>
  <si>
    <t xml:space="preserve">PDF generado con logo, número, cliente, ítems y total correctos; nombre de archivo ANGIE-TECH-FV-xxxx.pdf.</t>
  </si>
  <si>
    <t xml:space="preserve">invoicePdf.js</t>
  </si>
  <si>
    <t xml:space="preserve">FAC-007</t>
  </si>
  <si>
    <t xml:space="preserve">Enviar por correo</t>
  </si>
  <si>
    <t xml:space="preserve">Correo válido y servicio configurado.</t>
  </si>
  <si>
    <t xml:space="preserve">Enviar factura y verificar resultado.</t>
  </si>
  <si>
    <t xml:space="preserve">Se envía o se informa claramente el fallo.</t>
  </si>
  <si>
    <t xml:space="preserve">Correo prepara mailto con destinatario, asunto «Factura FV-0023 de ANGIE TECH», cuerpo y enlace al PDF; el envío real lo confirma la app de correo. Registro en factura_envios OK (API 201).</t>
  </si>
  <si>
    <t xml:space="preserve">InvoiceDelivery</t>
  </si>
  <si>
    <t xml:space="preserve">FAC-008</t>
  </si>
  <si>
    <t xml:space="preserve">Compartir por WhatsApp</t>
  </si>
  <si>
    <t xml:space="preserve">Pulsar compartir WhatsApp.</t>
  </si>
  <si>
    <t xml:space="preserve">Prepara factura/enlace correcto; no afirma envío sin confirmación.</t>
  </si>
  <si>
    <t xml:space="preserve">WhatsApp prepara wa.me con número, total y enlace al PDF, y aclara que no adjunta archivo. Defecto corregido: el mensaje firmaba «TechStore» en vez de «ANGIE TECH».</t>
  </si>
  <si>
    <t xml:space="preserve">lib/factura.js</t>
  </si>
  <si>
    <t xml:space="preserve">FAC-009</t>
  </si>
  <si>
    <t xml:space="preserve">Anular factura autorizada</t>
  </si>
  <si>
    <t xml:space="preserve">Factura emitida; reglas documentadas.</t>
  </si>
  <si>
    <t xml:space="preserve">Anular y revisar estado, stock, pagos e historial.</t>
  </si>
  <si>
    <t xml:space="preserve">Anulación trazable y efectos ejecutados una sola vez.</t>
  </si>
  <si>
    <t xml:space="preserve">Estado anulada por admin, motivo «QA anulación autorizada»; stock 4→5; 1 registro en actividad</t>
  </si>
  <si>
    <t xml:space="preserve">rpc anular_factura</t>
  </si>
  <si>
    <t xml:space="preserve">FAC-010</t>
  </si>
  <si>
    <t xml:space="preserve">Anular factura sin permiso</t>
  </si>
  <si>
    <t xml:space="preserve">Usuario sin permiso.</t>
  </si>
  <si>
    <t xml:space="preserve">Intentar desde UI y solicitud directa.</t>
  </si>
  <si>
    <t xml:space="preserve">Deniega operación; factura y stock intactos.</t>
  </si>
  <si>
    <t xml:space="preserve">Vendedor por API → «No tienes permiso para anular facturas»; factura sigue emitida. En la UI pide correo y contraseña del administrador.</t>
  </si>
  <si>
    <t xml:space="preserve">tiene_permiso(anular_facturas)</t>
  </si>
  <si>
    <t xml:space="preserve">FAC-011</t>
  </si>
  <si>
    <t xml:space="preserve">Registrar devolución</t>
  </si>
  <si>
    <t xml:space="preserve">Factura válida; reglas definidas.</t>
  </si>
  <si>
    <t xml:space="preserve">Registrar devolución parcial/total y revisar valores.</t>
  </si>
  <si>
    <t xml:space="preserve">Registra cantidades y aplica reglas de dinero/stock sin duplicidad.</t>
  </si>
  <si>
    <t xml:space="preserve">Devolución parcial de 1 funda: stock 9→10, devuelto 5000, neto de la factura 13.000→8000</t>
  </si>
  <si>
    <t xml:space="preserve">rpc registrar_devolucion</t>
  </si>
  <si>
    <t xml:space="preserve">FAC-012</t>
  </si>
  <si>
    <t xml:space="preserve">Modificar factura emitida</t>
  </si>
  <si>
    <t xml:space="preserve">Factura emitida.</t>
  </si>
  <si>
    <t xml:space="preserve">Intentar modificar datos protegidos.</t>
  </si>
  <si>
    <t xml:space="preserve">Aplica restricciones y conserva trazabilidad.</t>
  </si>
  <si>
    <t xml:space="preserve">PATCH total (admin) → 200 filas 0; PATCH ítems → 200 filas 0; DELETE → 200 filas 0; total intacto 13000</t>
  </si>
  <si>
    <t xml:space="preserve">Sin políticas de update/delete en facturas</t>
  </si>
  <si>
    <t xml:space="preserve">FAC-013</t>
  </si>
  <si>
    <t xml:space="preserve">Descargar factura inexistente</t>
  </si>
  <si>
    <t xml:space="preserve">ID inexistente.</t>
  </si>
  <si>
    <t xml:space="preserve">Abrir o descargar factura inexistente.</t>
  </si>
  <si>
    <t xml:space="preserve">Muestra error claro sin filtrar otros datos.</t>
  </si>
  <si>
    <t xml:space="preserve">Consulta id inexistente → []; acción → «La factura no existe»</t>
  </si>
  <si>
    <t xml:space="preserve">FAC-014</t>
  </si>
  <si>
    <t xml:space="preserve">Factura con datos extensos</t>
  </si>
  <si>
    <t xml:space="preserve">Cliente con nombre largo y muchos productos.</t>
  </si>
  <si>
    <t xml:space="preserve">Generar PDF.</t>
  </si>
  <si>
    <t xml:space="preserve">No corta campos esenciales ni superpone texto.</t>
  </si>
  <si>
    <t xml:space="preserve">Con nombre largo y 28 productos el PDF montaba textos (nombre del cliente sobre «Atendido por», descripción sobre la cantidad) y la dirección se salía del recuadro. Corregido: el texto se mide con su tamaño real y el panel crece. Verificado: 3 páginas sin cruces.</t>
  </si>
  <si>
    <t xml:space="preserve">FAC-015</t>
  </si>
  <si>
    <t xml:space="preserve">Repetir anulación/devolución</t>
  </si>
  <si>
    <t xml:space="preserve">Factura ya anulada o devuelta.</t>
  </si>
  <si>
    <t xml:space="preserve">Repetir acción y recargar.</t>
  </si>
  <si>
    <t xml:space="preserve">No duplica movimientos ni reembolsos.</t>
  </si>
  <si>
    <t xml:space="preserve">Devolver más de lo vendido: «Cantidad a devolver inválida para "QA Funda iPhone 15 Pro"»; anular con devoluciones: «La factura tiene devoluciones y no se puede anular»; devolver otra vez: «Cantidad a devolver inválida para "QA Cable USB-C"»; anular dos veces: «La factura ya está anulada»; stock sin </t>
  </si>
  <si>
    <t xml:space="preserve">CLI-001</t>
  </si>
  <si>
    <t xml:space="preserve">Crear cliente válido</t>
  </si>
  <si>
    <t xml:space="preserve">Completar datos y guardar.</t>
  </si>
  <si>
    <t xml:space="preserve">Cliente guardado y localizable.</t>
  </si>
  <si>
    <t xml:space="preserve">Vendedor crea cliente → HTTP 201, id 6</t>
  </si>
  <si>
    <t xml:space="preserve">POST clientes (permiso crear_clientes)</t>
  </si>
  <si>
    <t xml:space="preserve">CLI-002</t>
  </si>
  <si>
    <t xml:space="preserve">Formulario cliente.</t>
  </si>
  <si>
    <t xml:space="preserve">Omitir campo obligatorio y guardar.</t>
  </si>
  <si>
    <t xml:space="preserve">Muestra validación; no guarda inválido.</t>
  </si>
  <si>
    <t xml:space="preserve">Sin documento → HTTP 400 «null value in column "documento" of relation "clientes" violates not-null constraint»; la UI pide Nombre, documento y WhatsApp (≥10 dígitos)</t>
  </si>
  <si>
    <t xml:space="preserve">NOT NULL documento + validación ClienteForm</t>
  </si>
  <si>
    <t xml:space="preserve">CLI-003</t>
  </si>
  <si>
    <t xml:space="preserve">Buscar cliente</t>
  </si>
  <si>
    <t xml:space="preserve">Varios clientes existentes.</t>
  </si>
  <si>
    <t xml:space="preserve">Buscar por nombre/documento.</t>
  </si>
  <si>
    <t xml:space="preserve">Coincidencias correctas.</t>
  </si>
  <si>
    <t xml:space="preserve">Coincidencias: nombre:1, documento:1</t>
  </si>
  <si>
    <t xml:space="preserve">Buscador de Clientes y ClientePicker</t>
  </si>
  <si>
    <t xml:space="preserve">CLI-004</t>
  </si>
  <si>
    <t xml:space="preserve">Guardar correo y teléfono</t>
  </si>
  <si>
    <t xml:space="preserve">Ingresar datos válidos y guardar.</t>
  </si>
  <si>
    <t xml:space="preserve">Datos persisten con formato correcto.</t>
  </si>
  <si>
    <t xml:space="preserve">Persistido: {'telefono': '3001112233', 'correo': 'qa.cliente@prueba.com'}</t>
  </si>
  <si>
    <t xml:space="preserve">GET tras guardar</t>
  </si>
  <si>
    <t xml:space="preserve">CLI-005</t>
  </si>
  <si>
    <t xml:space="preserve">Historial de compras</t>
  </si>
  <si>
    <t xml:space="preserve">Cliente con ventas.</t>
  </si>
  <si>
    <t xml:space="preserve">Abrir historial.</t>
  </si>
  <si>
    <t xml:space="preserve">Muestra compras asociadas con permisos correctos.</t>
  </si>
  <si>
    <t xml:space="preserve">Historial muestra las 5 facturas. Defecto: «Total comprado» contaba una factura devuelta por completo ($23.000 · 2 compras). Ahora $10.000 · 1 compra (neto de devoluciones).</t>
  </si>
  <si>
    <t xml:space="preserve">Clientes.jsx</t>
  </si>
  <si>
    <t xml:space="preserve">CLI-006</t>
  </si>
  <si>
    <t xml:space="preserve">Asociar cliente a factura</t>
  </si>
  <si>
    <t xml:space="preserve">Cliente y venta en proceso.</t>
  </si>
  <si>
    <t xml:space="preserve">Seleccionar cliente, confirmar y revisar factura.</t>
  </si>
  <si>
    <t xml:space="preserve">Factura relacionada al cliente correcto.</t>
  </si>
  <si>
    <t xml:space="preserve">Factura FV19 enlazada al cliente id 6</t>
  </si>
  <si>
    <t xml:space="preserve">CLI-007</t>
  </si>
  <si>
    <t xml:space="preserve">Cliente duplicado</t>
  </si>
  <si>
    <t xml:space="preserve">Documento/correo existente.</t>
  </si>
  <si>
    <t xml:space="preserve">Crear otro cliente con dato duplicado.</t>
  </si>
  <si>
    <t xml:space="preserve">Aplica regla definida para evitar duplicados confusos.</t>
  </si>
  <si>
    <t xml:space="preserve">Mismo tipo y documento → HTTP 409 «duplicate key value violates unique constraint "clientes_tipo_documento_documento_key"» → UI: «Ya existe un registro con esos datos.»</t>
  </si>
  <si>
    <t xml:space="preserve">unique(tipo_documento, documento)</t>
  </si>
  <si>
    <t xml:space="preserve">CLI-008</t>
  </si>
  <si>
    <t xml:space="preserve">Editar contacto</t>
  </si>
  <si>
    <t xml:space="preserve">Cliente existente.</t>
  </si>
  <si>
    <t xml:space="preserve">Actualizar teléfono/correo y guardar.</t>
  </si>
  <si>
    <t xml:space="preserve">Cambios persisten y compras siguen vinculadas.</t>
  </si>
  <si>
    <t xml:space="preserve">Editar cliente: teléfono 3001112233 → 3009998877 guardado; el historial sigue con 5 facturas.</t>
  </si>
  <si>
    <t xml:space="preserve">Ficha de cliente</t>
  </si>
  <si>
    <t xml:space="preserve">EMP-001</t>
  </si>
  <si>
    <t xml:space="preserve">Crear empleado</t>
  </si>
  <si>
    <t xml:space="preserve">Administrador autorizado.</t>
  </si>
  <si>
    <t xml:space="preserve">Crear empleado con rol y permisos.</t>
  </si>
  <si>
    <t xml:space="preserve">Usuario creado con permisos asignados.</t>
  </si>
  <si>
    <t xml:space="preserve">Función crear-empleado → 200; perfil QA Vendedor B rol vendedor; permisos ['vender', 'ver_inventario', 'crear_clientes']</t>
  </si>
  <si>
    <t xml:space="preserve">Edge Function crear-empleado + perfiles/perfil_permisos</t>
  </si>
  <si>
    <t xml:space="preserve">EMP-002</t>
  </si>
  <si>
    <t xml:space="preserve">Desactivar empleado</t>
  </si>
  <si>
    <t xml:space="preserve">Empleado activo.</t>
  </si>
  <si>
    <t xml:space="preserve">Desactivar y probar acceso.</t>
  </si>
  <si>
    <t xml:space="preserve">Se bloquea acceso conforme a política.</t>
  </si>
  <si>
    <t xml:space="preserve">Desactivado (activo=false). Sesión previa: inventario 0 filas, vender → «No tienes permiso para vender». Login nuevo → token emitido (200) pero sin datos (clientes 0) y la app muestra «Tu usuario está desactivado».</t>
  </si>
  <si>
    <t xml:space="preserve">es_activo() en RLS y RPC; ProtectedRoute</t>
  </si>
  <si>
    <t xml:space="preserve">EMP-003</t>
  </si>
  <si>
    <t xml:space="preserve">Modificar permisos</t>
  </si>
  <si>
    <t xml:space="preserve">Empleado existente.</t>
  </si>
  <si>
    <t xml:space="preserve">Cambiar permiso y probar función.</t>
  </si>
  <si>
    <t xml:space="preserve">Cambios aplican en UI y servidor.</t>
  </si>
  <si>
    <t xml:space="preserve">Sin permiso → «No tienes permiso para modificar el inventario»; al otorgar «Modificar inventario» → OK (mov 55); al quitarlo → rechazado otra vez</t>
  </si>
  <si>
    <t xml:space="preserve">perfil_permisos + tiene_permiso()</t>
  </si>
  <si>
    <t xml:space="preserve">EMP-004</t>
  </si>
  <si>
    <t xml:space="preserve">Dos empleados con ventas.</t>
  </si>
  <si>
    <t xml:space="preserve">Consultar reporte como admin.</t>
  </si>
  <si>
    <t xml:space="preserve">Totales por empleado correctos.</t>
  </si>
  <si>
    <t xml:space="preserve">Administrador de prueba: 41055000 (11 fact.); Vendedor de prueba: 28860000 (5 fact.); José Aldana: 5855000 (2 fact.)</t>
  </si>
  <si>
    <t xml:space="preserve">EMP-005</t>
  </si>
  <si>
    <t xml:space="preserve">Vendedor consulta ventas de otro</t>
  </si>
  <si>
    <t xml:space="preserve">Dos vendedores.</t>
  </si>
  <si>
    <t xml:space="preserve">A intenta consultar datos de B.</t>
  </si>
  <si>
    <t xml:space="preserve">Acceso denegado.</t>
  </si>
  <si>
    <t xml:space="preserve">Consulta directa de datos de A con sesión de B → 0 filas</t>
  </si>
  <si>
    <t xml:space="preserve">EMP-006</t>
  </si>
  <si>
    <t xml:space="preserve">No mostrar comisiones</t>
  </si>
  <si>
    <t xml:space="preserve">Revisar Inicio y menús.</t>
  </si>
  <si>
    <t xml:space="preserve">No aparecen indicadores ni módulos de comisiones.</t>
  </si>
  <si>
    <t xml:space="preserve">La interfaz del vendedor no muestra comisiones. Además se eliminaron las comisiones del sistema: no hay campo de comisión en Empleados, ni en facturas ni en el detalle del negocio, y todos los perfiles quedaron sin comisión.</t>
  </si>
  <si>
    <t xml:space="preserve">UI + API</t>
  </si>
  <si>
    <t xml:space="preserve">EMP-007</t>
  </si>
  <si>
    <t xml:space="preserve">Proteger rutas administrativas</t>
  </si>
  <si>
    <t xml:space="preserve">Abrir URL/API administrativa.</t>
  </si>
  <si>
    <t xml:space="preserve">Servidor deniega acceso.</t>
  </si>
  <si>
    <t xml:space="preserve">Servidor deniega: movimientos:0; compras:0; pagos_proveedor:0; actividad:0; compra_items:0; movimientos_inventario:0; resumen_dashboard:400; productos(costos):0</t>
  </si>
  <si>
    <t xml:space="preserve">Mismo set que AUT-006 + rutas /finanzas /proveedores /empleados redirigen a Inicio</t>
  </si>
  <si>
    <t xml:space="preserve">EMP-008</t>
  </si>
  <si>
    <t xml:space="preserve">Historial de actividad</t>
  </si>
  <si>
    <t xml:space="preserve">Operaciones auditables.</t>
  </si>
  <si>
    <t xml:space="preserve">Realizar cambios y consultar historial.</t>
  </si>
  <si>
    <t xml:space="preserve">Registra actor, acción y fecha conforme al alcance.</t>
  </si>
  <si>
    <t xml:space="preserve">Ventas, anulaciones, devoluciones, inventario, compras y clientes quedan con actor, acción y fecha. Defecto: el alta de empleado quedaba sin actor y los cambios de permisos no se registraban. Corregido en script 05.</t>
  </si>
  <si>
    <t xml:space="preserve">auditar() + trigger en perfil_permisos · Script 05 ejecutado y verificado el 12-oct.</t>
  </si>
  <si>
    <t xml:space="preserve">PRO-001</t>
  </si>
  <si>
    <t xml:space="preserve">Crear proveedor</t>
  </si>
  <si>
    <t xml:space="preserve">Completar datos válidos y guardar.</t>
  </si>
  <si>
    <t xml:space="preserve">Proveedor guardado y seleccionable.</t>
  </si>
  <si>
    <t xml:space="preserve">HTTP 201; proveedor id 2</t>
  </si>
  <si>
    <t xml:space="preserve">Formulario simplificado: Nombre*, WhatsApp, Correo</t>
  </si>
  <si>
    <t xml:space="preserve">PRO-002</t>
  </si>
  <si>
    <t xml:space="preserve">Consultar productos del proveedor</t>
  </si>
  <si>
    <t xml:space="preserve">Proveedor asociado a productos.</t>
  </si>
  <si>
    <t xml:space="preserve">Abrir detalle.</t>
  </si>
  <si>
    <t xml:space="preserve">Muestra productos relacionados.</t>
  </si>
  <si>
    <t xml:space="preserve">Productos asociados: ['QA-FUNDA-IP15-NEG', 'QA-CABLE-USBC']</t>
  </si>
  <si>
    <t xml:space="preserve">productos.proveedor_id</t>
  </si>
  <si>
    <t xml:space="preserve">PRO-003</t>
  </si>
  <si>
    <t xml:space="preserve">Registrar compra/ingreso</t>
  </si>
  <si>
    <t xml:space="preserve">Proveedor/productos existentes; flujo implementado.</t>
  </si>
  <si>
    <t xml:space="preserve">Registrar compra y verificar stock.</t>
  </si>
  <si>
    <t xml:space="preserve">Relación con proveedor y actualización de stock única.</t>
  </si>
  <si>
    <t xml:space="preserve">Compra 2 a crédito; stock A 0→10, B 0→5 (una sola vez)</t>
  </si>
  <si>
    <t xml:space="preserve">rpc registrar_compra</t>
  </si>
  <si>
    <t xml:space="preserve">PRO-004</t>
  </si>
  <si>
    <t xml:space="preserve">Proveedor con compras.</t>
  </si>
  <si>
    <t xml:space="preserve">Compras, fechas y valores correctos.</t>
  </si>
  <si>
    <t xml:space="preserve">Historial: [{'id': 2, 'fecha': '2026-10-12', 'total': 12500, 'numero_documento': 'QA-001'}]</t>
  </si>
  <si>
    <t xml:space="preserve">Ficha del proveedor &gt; Compras</t>
  </si>
  <si>
    <t xml:space="preserve">PRO-005</t>
  </si>
  <si>
    <t xml:space="preserve">Cuentas por pagar</t>
  </si>
  <si>
    <t xml:space="preserve">Módulo implementado y datos de prueba.</t>
  </si>
  <si>
    <t xml:space="preserve">Consultar saldos/vencimientos.</t>
  </si>
  <si>
    <t xml:space="preserve">Saldos y estados coinciden con compras y pagos.</t>
  </si>
  <si>
    <t xml:space="preserve">Saldo 12.500 (vence 2026-11-12) → abono 5.000 → 7.500; abono excesivo rechazado «El abono debe ser mayor que 0 y no superar el saldo (7500)»; pago final → 0</t>
  </si>
  <si>
    <t xml:space="preserve">compras_saldo + registrar_pago_proveedor</t>
  </si>
  <si>
    <t xml:space="preserve">PRO-006</t>
  </si>
  <si>
    <t xml:space="preserve">Validar proveedor incompleto</t>
  </si>
  <si>
    <t xml:space="preserve">Formulario proveedor.</t>
  </si>
  <si>
    <t xml:space="preserve">Muestra validación y no guarda inválido.</t>
  </si>
  <si>
    <t xml:space="preserve">Sin nombre → HTTP 400 «null value in column "nombre" of relation "proveedores" violates not-null constraint»; la UI exige Nombre*</t>
  </si>
  <si>
    <t xml:space="preserve">NOT NULL en proveedores.nombre</t>
  </si>
  <si>
    <t xml:space="preserve">UI-001</t>
  </si>
  <si>
    <t xml:space="preserve">Cambiar modo claro/oscuro</t>
  </si>
  <si>
    <t xml:space="preserve">Preferencia de tema disponible.</t>
  </si>
  <si>
    <t xml:space="preserve">Cambiar tema y recorrer módulos.</t>
  </si>
  <si>
    <t xml:space="preserve">Actualiza colores sin alterar datos/funciones.</t>
  </si>
  <si>
    <t xml:space="preserve">Cambio claro ↔ oscuro: data-theme cambia, fondos y textos se actualizan, sin recargar ni perder datos.</t>
  </si>
  <si>
    <t xml:space="preserve">ThemeToggle</t>
  </si>
  <si>
    <t xml:space="preserve">UI-002</t>
  </si>
  <si>
    <t xml:space="preserve">Banner por rol y tema</t>
  </si>
  <si>
    <t xml:space="preserve">Roles y temas disponibles.</t>
  </si>
  <si>
    <t xml:space="preserve">Abrir Inicio en ambos roles y temas.</t>
  </si>
  <si>
    <t xml:space="preserve">Banner/contenido correcto según rol; contraste adecuado.</t>
  </si>
  <si>
    <t xml:space="preserve">Admin: banner «Administrador · Controla tu negocio» en ambos temas, pero el título salía «Administrad…» en celulares (corregido). Vendedor: su Inicio no mostraba el banner de rol (corregido, imagen clara y oscura).</t>
  </si>
  <si>
    <t xml:space="preserve">luxe.css, InicioVendedor.jsx</t>
  </si>
  <si>
    <t xml:space="preserve">UI-003</t>
  </si>
  <si>
    <t xml:space="preserve">Navegación entre módulos</t>
  </si>
  <si>
    <t xml:space="preserve">Sesión activa.</t>
  </si>
  <si>
    <t xml:space="preserve">Usar navegación principal.</t>
  </si>
  <si>
    <t xml:space="preserve">Abre pantalla correcta y respeta permisos.</t>
  </si>
  <si>
    <t xml:space="preserve">12 rutas de admin y 9 de vendedor abren correctamente; rutas sin permiso redirigen a Inicio.</t>
  </si>
  <si>
    <t xml:space="preserve">Navegación</t>
  </si>
  <si>
    <t xml:space="preserve">UI-004</t>
  </si>
  <si>
    <t xml:space="preserve">Móvil de ancho reducido</t>
  </si>
  <si>
    <t xml:space="preserve">Viewport QA aprox. 320 px.</t>
  </si>
  <si>
    <t xml:space="preserve">Abrir Inicio, Inventario, Venta y Facturas.</t>
  </si>
  <si>
    <t xml:space="preserve">Sin scroll horizontal, texto cortado ni superposición.</t>
  </si>
  <si>
    <t xml:space="preserve">320 px: sin scroll horizontal en 11 pantallas. Se corrigieron los totales del Historial y del resumen de Movimientos que se salían del borde.</t>
  </si>
  <si>
    <t xml:space="preserve">luxe.css</t>
  </si>
  <si>
    <t xml:space="preserve">UI-005</t>
  </si>
  <si>
    <t xml:space="preserve">Vista escritorio</t>
  </si>
  <si>
    <t xml:space="preserve">Navegador de escritorio.</t>
  </si>
  <si>
    <t xml:space="preserve">Abrir módulos principales.</t>
  </si>
  <si>
    <t xml:space="preserve">Diseño aprovecha espacio y mantiene jerarquía.</t>
  </si>
  <si>
    <t xml:space="preserve">1280 px: carga sin errores ni scroll horizontal. Observación: el diseño se estira a todo el ancho (pensado para celular).</t>
  </si>
  <si>
    <t xml:space="preserve">UI-006</t>
  </si>
  <si>
    <t xml:space="preserve">Placeholder uniforme sin foto</t>
  </si>
  <si>
    <t xml:space="preserve">Varios productos sin fotografía.</t>
  </si>
  <si>
    <t xml:space="preserve">Abrir listas y detalles.</t>
  </si>
  <si>
    <t xml:space="preserve">Todos usan el mismo diseño de imagen faltante.</t>
  </si>
  <si>
    <t xml:space="preserve">Productos sin foto usan el mismo marcador «photo-pending cat-placeholder» en listas y detalle.</t>
  </si>
  <si>
    <t xml:space="preserve">UI-007</t>
  </si>
  <si>
    <t xml:space="preserve">Teclado móvil</t>
  </si>
  <si>
    <t xml:space="preserve">Dispositivo/emulador móvil.</t>
  </si>
  <si>
    <t xml:space="preserve">Abrir formularios y mostrar teclado.</t>
  </si>
  <si>
    <t xml:space="preserve">Campos y acciones importantes siguen accesibles.</t>
  </si>
  <si>
    <t xml:space="preserve">Requiere un celular físico con teclado real; no se puede simular en este entorno.</t>
  </si>
  <si>
    <t xml:space="preserve">Pendiente en iPhone/Android</t>
  </si>
  <si>
    <t xml:space="preserve">UI-008</t>
  </si>
  <si>
    <t xml:space="preserve">Carga lenta o error de red</t>
  </si>
  <si>
    <t xml:space="preserve">Entorno para simular latencia.</t>
  </si>
  <si>
    <t xml:space="preserve">Interrumpir una carga/guardado y reintentar.</t>
  </si>
  <si>
    <t xml:space="preserve">Muestra estados claros y evita duplicar operaciones.</t>
  </si>
  <si>
    <t xml:space="preserve">Sin red, Proveedores mostraba «$0 · Todo al día» y Clientes una lista vacía, como si no hubiera datos. Ahora aparece «Sin conexión… No repitas ventas ni pagos» con Reintentar, y se quita al volver la red.</t>
  </si>
  <si>
    <t xml:space="preserve">supabase.js, AppShell.jsx</t>
  </si>
  <si>
    <t xml:space="preserve">UI-009</t>
  </si>
  <si>
    <t xml:space="preserve">Accesibilidad básica</t>
  </si>
  <si>
    <t xml:space="preserve">Pantallas principales.</t>
  </si>
  <si>
    <t xml:space="preserve">Revisar contraste, etiquetas, foco y tamaño de controles.</t>
  </si>
  <si>
    <t xml:space="preserve">Textos legibles y controles identificables.</t>
  </si>
  <si>
    <t xml:space="preserve">Botones con nombre accesible (0 sin nombre) y campos con etiqueta. Corregido: la lista de clientes al vender no se podía usar con teclado. También se amplió a 44 px el área de toque de «Más opciones».</t>
  </si>
  <si>
    <t xml:space="preserve">ClientePicker.jsx</t>
  </si>
  <si>
    <t xml:space="preserve">UI-010</t>
  </si>
  <si>
    <t xml:space="preserve">Formato de moneda y fecha</t>
  </si>
  <si>
    <t xml:space="preserve">Configuración regional acordada.</t>
  </si>
  <si>
    <t xml:space="preserve">Revisar importes y fechas en módulos.</t>
  </si>
  <si>
    <t xml:space="preserve">Formato consistente con configuración de Colombia.</t>
  </si>
  <si>
    <t xml:space="preserve">Moneda $13.000 (es-CO, sin decimales), fechas «12 de oct de 2026 · 6:20 p. m.» en hora de Bogotá.</t>
  </si>
  <si>
    <t xml:space="preserve">format.js</t>
  </si>
  <si>
    <t xml:space="preserve">INT-001</t>
  </si>
  <si>
    <t xml:space="preserve">Persistencia de registros</t>
  </si>
  <si>
    <t xml:space="preserve">Producto, cliente y venta de QA.</t>
  </si>
  <si>
    <t xml:space="preserve">Guardar, recargar y volver a consultar.</t>
  </si>
  <si>
    <t xml:space="preserve">Datos persisten sin pérdida ni duplicación.</t>
  </si>
  <si>
    <t xml:space="preserve">Releídos en sesión nueva: producto «QA Funda iPhone 15 Pro», cliente «QA Cliente Pruebas», factura FV19; sin duplicados</t>
  </si>
  <si>
    <t xml:space="preserve">INT-002</t>
  </si>
  <si>
    <t xml:space="preserve">Integridad venta-factura-stock</t>
  </si>
  <si>
    <t xml:space="preserve">Venta y stock conocidos.</t>
  </si>
  <si>
    <t xml:space="preserve">Registrar venta y revisar registros relacionados.</t>
  </si>
  <si>
    <t xml:space="preserve">Importes/cantidades coinciden en venta, factura y stock.</t>
  </si>
  <si>
    <t xml:space="preserve">Factura total 13000 = Σ ítems; movimientos [(6, -2), (7, -1)] = ítems</t>
  </si>
  <si>
    <t xml:space="preserve">facturas / factura_items / movimientos_inventario</t>
  </si>
  <si>
    <t xml:space="preserve">INT-003</t>
  </si>
  <si>
    <t xml:space="preserve">Autorización en API</t>
  </si>
  <si>
    <t xml:space="preserve">Cuentas con distintos permisos.</t>
  </si>
  <si>
    <t xml:space="preserve">Consultar recursos con cada rol.</t>
  </si>
  <si>
    <t xml:space="preserve">Servidor aplica permisos de lectura/escritura.</t>
  </si>
  <si>
    <t xml:space="preserve">facturas A22/V8/anón0; clientes A6/V6/anón0; productos_venta A7/V7/anón401; productos A7/V0/anón0; movimientos A0/V0/anón0; compras A2/V0/anón0; perfiles A4/V1/anón0; actividad A75/V0/anón0</t>
  </si>
  <si>
    <t xml:space="preserve">Lectura por rol (A=admin, V=vendedor). Escrituras ya cubiertas en AUT-007, FAC-010, FAC-012, EMP-003</t>
  </si>
  <si>
    <t xml:space="preserve">INT-004</t>
  </si>
  <si>
    <t xml:space="preserve">Evitar doble movimiento tras reintento</t>
  </si>
  <si>
    <t xml:space="preserve">Operación con posibilidad de reintento.</t>
  </si>
  <si>
    <t xml:space="preserve">Repetir solicitud tras timeout y revisar historial.</t>
  </si>
  <si>
    <t xml:space="preserve">Solo una operación lógica queda registrada.</t>
  </si>
  <si>
    <t xml:space="preserve">Mismo defecto que VEN-014: dos facturas por una sola operación. Corregido con clave de idempotencia y bloqueo por clave.</t>
  </si>
  <si>
    <t xml:space="preserve">script 05 · Script 05 ejecutado y verificado el 12-oct.</t>
  </si>
  <si>
    <t xml:space="preserve">INT-005</t>
  </si>
  <si>
    <t xml:space="preserve">Manejo de error del servidor</t>
  </si>
  <si>
    <t xml:space="preserve">Entorno QA con error simulable.</t>
  </si>
  <si>
    <t xml:space="preserve">Forzar error y revisar mensaje.</t>
  </si>
  <si>
    <t xml:space="preserve">Mensaje claro, sin secretos ni trazas internas.</t>
  </si>
  <si>
    <t xml:space="preserve">Resiliencia</t>
  </si>
  <si>
    <t xml:space="preserve">Datos inválidos → HTTP 400 «invalid input syntax for type bigint: "abc"»; función inexistente → 404. Sin claves ni trazas; la UI muestra mensajes amigables (mensajeError).</t>
  </si>
  <si>
    <t xml:space="preserve">INT-006</t>
  </si>
  <si>
    <t xml:space="preserve">Orden y paginación</t>
  </si>
  <si>
    <t xml:space="preserve">Datos suficientes para varias páginas.</t>
  </si>
  <si>
    <t xml:space="preserve">Cambiar páginas, filtros y orden.</t>
  </si>
  <si>
    <t xml:space="preserve">No hay registros repetidos o perdidos.</t>
  </si>
  <si>
    <t xml:space="preserve">22 facturas recorridas en páginas de 5: sin repetidos ni perdidos</t>
  </si>
  <si>
    <t xml:space="preserve">order fecha desc, id desc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</si>
</sst>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77777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A1814"/>
        <bgColor rgb="FF0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2C3"/>
      </left>
      <right style="thin">
        <color rgb="FFD9D2C3"/>
      </right>
      <top style="thin">
        <color rgb="FFD9D2C3"/>
      </top>
      <bottom style="thin">
        <color rgb="FFD9D2C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A181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8F0E0"/>
          <bgColor rgb="FF000000"/>
        </patternFill>
      </fill>
    </dxf>
    <dxf>
      <fill>
        <patternFill patternType="solid">
          <fgColor rgb="FFE5E5E5"/>
          <bgColor rgb="FF000000"/>
        </patternFill>
      </fill>
    </dxf>
    <dxf>
      <fill>
        <patternFill patternType="solid">
          <fgColor rgb="FFFFF1CC"/>
          <bgColor rgb="FF000000"/>
        </patternFill>
      </fill>
    </dxf>
    <dxf>
      <fill>
        <patternFill>
          <bgColor rgb="FFD8F0E0"/>
        </patternFill>
      </fill>
    </dxf>
    <dxf>
      <fill>
        <patternFill>
          <bgColor rgb="FFFFF1CC"/>
        </patternFill>
      </fill>
    </dxf>
    <dxf>
      <fill>
        <patternFill>
          <bgColor rgb="FFF8D7D9"/>
        </patternFill>
      </fill>
    </dxf>
    <dxf>
      <fill>
        <patternFill>
          <bgColor rgb="FFE5E5E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2C3"/>
      <rgbColor rgb="FF777777"/>
      <rgbColor rgb="FF9999FF"/>
      <rgbColor rgb="FF993366"/>
      <rgbColor rgb="FFFFF1CC"/>
      <rgbColor rgb="FFCCFFFF"/>
      <rgbColor rgb="FF660066"/>
      <rgbColor rgb="FFFF8080"/>
      <rgbColor rgb="FF0066CC"/>
      <rgbColor rgb="FFE5E5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F0E0"/>
      <rgbColor rgb="FFFFFF99"/>
      <rgbColor rgb="FF99CCFF"/>
      <rgbColor rgb="FFFF99CC"/>
      <rgbColor rgb="FFCC99FF"/>
      <rgbColor rgb="FFF8D7D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A1814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5" min="2" style="1" width="16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</row>
    <row r="5" customFormat="false" ht="15" hidden="false" customHeight="true" outlineLevel="0" collapsed="false">
      <c r="A5" s="5" t="s">
        <v>5</v>
      </c>
      <c r="B5" s="5" t="n">
        <f aca="false">COUNTIF('Casos de prueba'!$J$2:$J$108,A5)</f>
        <v>92</v>
      </c>
      <c r="C5" s="6" t="n">
        <f aca="false">IFERROR(B5/$B$10,0)</f>
        <v>0.85981308411215</v>
      </c>
      <c r="D5" s="5"/>
      <c r="E5" s="5"/>
    </row>
    <row r="6" customFormat="false" ht="15" hidden="false" customHeight="true" outlineLevel="0" collapsed="false">
      <c r="A6" s="5" t="s">
        <v>6</v>
      </c>
      <c r="B6" s="5" t="n">
        <f aca="false">COUNTIF('Casos de prueba'!$J$2:$J$108,A6)</f>
        <v>14</v>
      </c>
      <c r="C6" s="6" t="n">
        <f aca="false">IFERROR(B6/$B$10,0)</f>
        <v>0.130841121495327</v>
      </c>
      <c r="D6" s="5"/>
      <c r="E6" s="5"/>
    </row>
    <row r="7" customFormat="false" ht="15" hidden="false" customHeight="true" outlineLevel="0" collapsed="false">
      <c r="A7" s="5" t="s">
        <v>7</v>
      </c>
      <c r="B7" s="5" t="n">
        <f aca="false">COUNTIF('Casos de prueba'!$J$2:$J$108,A7)</f>
        <v>0</v>
      </c>
      <c r="C7" s="6" t="n">
        <f aca="false">IFERROR(B7/$B$10,0)</f>
        <v>0</v>
      </c>
      <c r="D7" s="5"/>
      <c r="E7" s="5"/>
    </row>
    <row r="8" customFormat="false" ht="15" hidden="false" customHeight="true" outlineLevel="0" collapsed="false">
      <c r="A8" s="5" t="s">
        <v>8</v>
      </c>
      <c r="B8" s="5" t="n">
        <f aca="false">COUNTIF('Casos de prueba'!$J$2:$J$108,A8)</f>
        <v>0</v>
      </c>
      <c r="C8" s="6" t="n">
        <f aca="false">IFERROR(B8/$B$10,0)</f>
        <v>0</v>
      </c>
      <c r="D8" s="5"/>
      <c r="E8" s="5"/>
    </row>
    <row r="9" customFormat="false" ht="15" hidden="false" customHeight="true" outlineLevel="0" collapsed="false">
      <c r="A9" s="5" t="s">
        <v>9</v>
      </c>
      <c r="B9" s="5" t="n">
        <f aca="false">COUNTIF('Casos de prueba'!$J$2:$J$108,A9)</f>
        <v>1</v>
      </c>
      <c r="C9" s="6" t="n">
        <f aca="false">IFERROR(B9/$B$10,0)</f>
        <v>0.00934579439252336</v>
      </c>
      <c r="D9" s="5"/>
      <c r="E9" s="5"/>
    </row>
    <row r="10" customFormat="false" ht="15" hidden="false" customHeight="true" outlineLevel="0" collapsed="false">
      <c r="A10" s="7" t="s">
        <v>10</v>
      </c>
      <c r="B10" s="7" t="n">
        <f aca="false">SUM(B5:B9)</f>
        <v>107</v>
      </c>
      <c r="C10" s="8" t="n">
        <f aca="false">SUM(C5:C9)</f>
        <v>1</v>
      </c>
      <c r="D10" s="7"/>
      <c r="E10" s="7"/>
    </row>
    <row r="11" customFormat="false" ht="15" hidden="false" customHeight="true" outlineLevel="0" collapsed="false">
      <c r="A11" s="5"/>
      <c r="B11" s="5"/>
      <c r="C11" s="5"/>
      <c r="D11" s="5"/>
      <c r="E11" s="5"/>
    </row>
    <row r="12" customFormat="false" ht="15" hidden="false" customHeight="true" outlineLevel="0" collapsed="false">
      <c r="A12" s="4" t="s">
        <v>11</v>
      </c>
      <c r="B12" s="4" t="s">
        <v>3</v>
      </c>
      <c r="C12" s="4" t="s">
        <v>12</v>
      </c>
      <c r="D12" s="4" t="s">
        <v>13</v>
      </c>
      <c r="E12" s="4" t="s">
        <v>14</v>
      </c>
    </row>
    <row r="13" customFormat="false" ht="15" hidden="false" customHeight="true" outlineLevel="0" collapsed="false">
      <c r="A13" s="5" t="s">
        <v>15</v>
      </c>
      <c r="B13" s="5" t="n">
        <f aca="false">COUNTIF('Casos de prueba'!$B$2:$B$108,A13)</f>
        <v>10</v>
      </c>
      <c r="C13" s="5" t="n">
        <f aca="false">COUNTIFS('Casos de prueba'!$B$2:$B$108,A13,'Casos de prueba'!$J$2:$J$108,"Aprobado")</f>
        <v>9</v>
      </c>
      <c r="D13" s="5" t="n">
        <f aca="false">COUNTIFS('Casos de prueba'!$B$2:$B$108,A13,'Casos de prueba'!$J$2:$J$108,"Corregido*")</f>
        <v>1</v>
      </c>
      <c r="E13" s="5" t="n">
        <f aca="false">B13-C13-D13</f>
        <v>0</v>
      </c>
    </row>
    <row r="14" customFormat="false" ht="15" hidden="false" customHeight="true" outlineLevel="0" collapsed="false">
      <c r="A14" s="5" t="s">
        <v>16</v>
      </c>
      <c r="B14" s="5" t="n">
        <f aca="false">COUNTIF('Casos de prueba'!$B$2:$B$108,A14)</f>
        <v>12</v>
      </c>
      <c r="C14" s="5" t="n">
        <f aca="false">COUNTIFS('Casos de prueba'!$B$2:$B$108,A14,'Casos de prueba'!$J$2:$J$108,"Aprobado")</f>
        <v>11</v>
      </c>
      <c r="D14" s="5" t="n">
        <f aca="false">COUNTIFS('Casos de prueba'!$B$2:$B$108,A14,'Casos de prueba'!$J$2:$J$108,"Corregido*")</f>
        <v>1</v>
      </c>
      <c r="E14" s="5" t="n">
        <f aca="false">B14-C14-D14</f>
        <v>0</v>
      </c>
    </row>
    <row r="15" customFormat="false" ht="15" hidden="false" customHeight="true" outlineLevel="0" collapsed="false">
      <c r="A15" s="5" t="s">
        <v>17</v>
      </c>
      <c r="B15" s="5" t="n">
        <f aca="false">COUNTIF('Casos de prueba'!$B$2:$B$108,A15)</f>
        <v>18</v>
      </c>
      <c r="C15" s="5" t="n">
        <f aca="false">COUNTIFS('Casos de prueba'!$B$2:$B$108,A15,'Casos de prueba'!$J$2:$J$108,"Aprobado")</f>
        <v>18</v>
      </c>
      <c r="D15" s="5" t="n">
        <f aca="false">COUNTIFS('Casos de prueba'!$B$2:$B$108,A15,'Casos de prueba'!$J$2:$J$108,"Corregido*")</f>
        <v>0</v>
      </c>
      <c r="E15" s="5" t="n">
        <f aca="false">B15-C15-D15</f>
        <v>0</v>
      </c>
    </row>
    <row r="16" customFormat="false" ht="15" hidden="false" customHeight="true" outlineLevel="0" collapsed="false">
      <c r="A16" s="5" t="s">
        <v>18</v>
      </c>
      <c r="B16" s="5" t="n">
        <f aca="false">COUNTIF('Casos de prueba'!$B$2:$B$108,A16)</f>
        <v>14</v>
      </c>
      <c r="C16" s="5" t="n">
        <f aca="false">COUNTIFS('Casos de prueba'!$B$2:$B$108,A16,'Casos de prueba'!$J$2:$J$108,"Aprobado")</f>
        <v>12</v>
      </c>
      <c r="D16" s="5" t="n">
        <f aca="false">COUNTIFS('Casos de prueba'!$B$2:$B$108,A16,'Casos de prueba'!$J$2:$J$108,"Corregido*")</f>
        <v>2</v>
      </c>
      <c r="E16" s="5" t="n">
        <f aca="false">B16-C16-D16</f>
        <v>0</v>
      </c>
    </row>
    <row r="17" customFormat="false" ht="15" hidden="false" customHeight="true" outlineLevel="0" collapsed="false">
      <c r="A17" s="5" t="s">
        <v>19</v>
      </c>
      <c r="B17" s="5" t="n">
        <f aca="false">COUNTIF('Casos de prueba'!$B$2:$B$108,A17)</f>
        <v>15</v>
      </c>
      <c r="C17" s="5" t="n">
        <f aca="false">COUNTIFS('Casos de prueba'!$B$2:$B$108,A17,'Casos de prueba'!$J$2:$J$108,"Aprobado")</f>
        <v>12</v>
      </c>
      <c r="D17" s="5" t="n">
        <f aca="false">COUNTIFS('Casos de prueba'!$B$2:$B$108,A17,'Casos de prueba'!$J$2:$J$108,"Corregido*")</f>
        <v>3</v>
      </c>
      <c r="E17" s="5" t="n">
        <f aca="false">B17-C17-D17</f>
        <v>0</v>
      </c>
    </row>
    <row r="18" customFormat="false" ht="15" hidden="false" customHeight="true" outlineLevel="0" collapsed="false">
      <c r="A18" s="5" t="s">
        <v>20</v>
      </c>
      <c r="B18" s="5" t="n">
        <f aca="false">COUNTIF('Casos de prueba'!$B$2:$B$108,A18)</f>
        <v>8</v>
      </c>
      <c r="C18" s="5" t="n">
        <f aca="false">COUNTIFS('Casos de prueba'!$B$2:$B$108,A18,'Casos de prueba'!$J$2:$J$108,"Aprobado")</f>
        <v>7</v>
      </c>
      <c r="D18" s="5" t="n">
        <f aca="false">COUNTIFS('Casos de prueba'!$B$2:$B$108,A18,'Casos de prueba'!$J$2:$J$108,"Corregido*")</f>
        <v>1</v>
      </c>
      <c r="E18" s="5" t="n">
        <f aca="false">B18-C18-D18</f>
        <v>0</v>
      </c>
    </row>
    <row r="19" customFormat="false" ht="15" hidden="false" customHeight="true" outlineLevel="0" collapsed="false">
      <c r="A19" s="5" t="s">
        <v>21</v>
      </c>
      <c r="B19" s="5" t="n">
        <f aca="false">COUNTIF('Casos de prueba'!$B$2:$B$108,A19)</f>
        <v>8</v>
      </c>
      <c r="C19" s="5" t="n">
        <f aca="false">COUNTIFS('Casos de prueba'!$B$2:$B$108,A19,'Casos de prueba'!$J$2:$J$108,"Aprobado")</f>
        <v>7</v>
      </c>
      <c r="D19" s="5" t="n">
        <f aca="false">COUNTIFS('Casos de prueba'!$B$2:$B$108,A19,'Casos de prueba'!$J$2:$J$108,"Corregido*")</f>
        <v>1</v>
      </c>
      <c r="E19" s="5" t="n">
        <f aca="false">B19-C19-D19</f>
        <v>0</v>
      </c>
    </row>
    <row r="20" customFormat="false" ht="15" hidden="false" customHeight="true" outlineLevel="0" collapsed="false">
      <c r="A20" s="5" t="s">
        <v>22</v>
      </c>
      <c r="B20" s="5" t="n">
        <f aca="false">COUNTIF('Casos de prueba'!$B$2:$B$108,A20)</f>
        <v>6</v>
      </c>
      <c r="C20" s="5" t="n">
        <f aca="false">COUNTIFS('Casos de prueba'!$B$2:$B$108,A20,'Casos de prueba'!$J$2:$J$108,"Aprobado")</f>
        <v>6</v>
      </c>
      <c r="D20" s="5" t="n">
        <f aca="false">COUNTIFS('Casos de prueba'!$B$2:$B$108,A20,'Casos de prueba'!$J$2:$J$108,"Corregido*")</f>
        <v>0</v>
      </c>
      <c r="E20" s="5" t="n">
        <f aca="false">B20-C20-D20</f>
        <v>0</v>
      </c>
    </row>
    <row r="21" customFormat="false" ht="15" hidden="false" customHeight="true" outlineLevel="0" collapsed="false">
      <c r="A21" s="5" t="s">
        <v>23</v>
      </c>
      <c r="B21" s="5" t="n">
        <f aca="false">COUNTIF('Casos de prueba'!$B$2:$B$108,A21)</f>
        <v>10</v>
      </c>
      <c r="C21" s="5" t="n">
        <f aca="false">COUNTIFS('Casos de prueba'!$B$2:$B$108,A21,'Casos de prueba'!$J$2:$J$108,"Aprobado")</f>
        <v>5</v>
      </c>
      <c r="D21" s="5" t="n">
        <f aca="false">COUNTIFS('Casos de prueba'!$B$2:$B$108,A21,'Casos de prueba'!$J$2:$J$108,"Corregido*")</f>
        <v>4</v>
      </c>
      <c r="E21" s="5" t="n">
        <f aca="false">B21-C21-D21</f>
        <v>1</v>
      </c>
    </row>
    <row r="22" customFormat="false" ht="15" hidden="false" customHeight="true" outlineLevel="0" collapsed="false">
      <c r="A22" s="5" t="s">
        <v>24</v>
      </c>
      <c r="B22" s="5" t="n">
        <f aca="false">COUNTIF('Casos de prueba'!$B$2:$B$108,A22)</f>
        <v>6</v>
      </c>
      <c r="C22" s="5" t="n">
        <f aca="false">COUNTIFS('Casos de prueba'!$B$2:$B$108,A22,'Casos de prueba'!$J$2:$J$108,"Aprobado")</f>
        <v>5</v>
      </c>
      <c r="D22" s="5" t="n">
        <f aca="false">COUNTIFS('Casos de prueba'!$B$2:$B$108,A22,'Casos de prueba'!$J$2:$J$108,"Corregido*")</f>
        <v>1</v>
      </c>
      <c r="E22" s="5" t="n">
        <f aca="false">B22-C22-D22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8"/>
    <col collapsed="false" customWidth="true" hidden="false" outlineLevel="0" max="3" min="3" style="1" width="26"/>
    <col collapsed="false" customWidth="true" hidden="false" outlineLevel="0" max="4" min="4" style="1" width="24"/>
    <col collapsed="false" customWidth="true" hidden="false" outlineLevel="0" max="5" min="5" style="1" width="30"/>
    <col collapsed="false" customWidth="true" hidden="false" outlineLevel="0" max="6" min="6" style="1" width="32"/>
    <col collapsed="false" customWidth="true" hidden="false" outlineLevel="0" max="7" min="7" style="1" width="9"/>
    <col collapsed="false" customWidth="true" hidden="false" outlineLevel="0" max="8" min="8" style="1" width="14"/>
    <col collapsed="false" customWidth="true" hidden="false" outlineLevel="0" max="9" min="9" style="1" width="11"/>
    <col collapsed="false" customWidth="true" hidden="false" outlineLevel="0" max="10" min="10" style="1" width="16"/>
    <col collapsed="false" customWidth="true" hidden="false" outlineLevel="0" max="11" min="11" style="1" width="60"/>
    <col collapsed="false" customWidth="true" hidden="false" outlineLevel="0" max="12" min="12" style="1" width="34"/>
    <col collapsed="false" customWidth="true" hidden="false" outlineLevel="0" max="13" min="13" style="1" width="16"/>
    <col collapsed="false" customWidth="true" hidden="false" outlineLevel="0" max="14" min="14" style="1" width="12"/>
  </cols>
  <sheetData>
    <row r="1" customFormat="false" ht="23.25" hidden="false" customHeight="true" outlineLevel="0" collapsed="false">
      <c r="A1" s="9" t="s">
        <v>25</v>
      </c>
      <c r="B1" s="9" t="s">
        <v>11</v>
      </c>
      <c r="C1" s="9" t="s">
        <v>26</v>
      </c>
      <c r="D1" s="9" t="s">
        <v>27</v>
      </c>
      <c r="E1" s="9" t="s">
        <v>28</v>
      </c>
      <c r="F1" s="9" t="s">
        <v>29</v>
      </c>
      <c r="G1" s="9" t="s">
        <v>30</v>
      </c>
      <c r="H1" s="9" t="s">
        <v>31</v>
      </c>
      <c r="I1" s="9" t="s">
        <v>32</v>
      </c>
      <c r="J1" s="9" t="s">
        <v>2</v>
      </c>
      <c r="K1" s="9" t="s">
        <v>33</v>
      </c>
      <c r="L1" s="9" t="s">
        <v>34</v>
      </c>
      <c r="M1" s="9" t="s">
        <v>35</v>
      </c>
      <c r="N1" s="9" t="s">
        <v>36</v>
      </c>
    </row>
    <row r="2" customFormat="false" ht="21.75" hidden="false" customHeight="true" outlineLevel="0" collapsed="false">
      <c r="A2" s="10" t="s">
        <v>37</v>
      </c>
      <c r="B2" s="11" t="s">
        <v>15</v>
      </c>
      <c r="C2" s="11" t="s">
        <v>38</v>
      </c>
      <c r="D2" s="11" t="s">
        <v>39</v>
      </c>
      <c r="E2" s="11" t="s">
        <v>40</v>
      </c>
      <c r="F2" s="11" t="s">
        <v>41</v>
      </c>
      <c r="G2" s="11" t="s">
        <v>42</v>
      </c>
      <c r="H2" s="11" t="s">
        <v>43</v>
      </c>
      <c r="I2" s="11" t="s">
        <v>44</v>
      </c>
      <c r="J2" s="11" t="s">
        <v>5</v>
      </c>
      <c r="K2" s="11" t="s">
        <v>45</v>
      </c>
      <c r="L2" s="11" t="s">
        <v>46</v>
      </c>
      <c r="M2" s="11" t="s">
        <v>47</v>
      </c>
      <c r="N2" s="11" t="s">
        <v>48</v>
      </c>
    </row>
    <row r="3" customFormat="false" ht="21.75" hidden="false" customHeight="true" outlineLevel="0" collapsed="false">
      <c r="A3" s="10" t="s">
        <v>49</v>
      </c>
      <c r="B3" s="11" t="s">
        <v>15</v>
      </c>
      <c r="C3" s="11" t="s">
        <v>50</v>
      </c>
      <c r="D3" s="11" t="s">
        <v>51</v>
      </c>
      <c r="E3" s="11" t="s">
        <v>40</v>
      </c>
      <c r="F3" s="11" t="s">
        <v>52</v>
      </c>
      <c r="G3" s="11" t="s">
        <v>42</v>
      </c>
      <c r="H3" s="11" t="s">
        <v>53</v>
      </c>
      <c r="I3" s="11" t="s">
        <v>44</v>
      </c>
      <c r="J3" s="11" t="s">
        <v>5</v>
      </c>
      <c r="K3" s="11" t="s">
        <v>54</v>
      </c>
      <c r="L3" s="11" t="s">
        <v>55</v>
      </c>
      <c r="M3" s="11" t="s">
        <v>47</v>
      </c>
      <c r="N3" s="11" t="s">
        <v>48</v>
      </c>
    </row>
    <row r="4" customFormat="false" ht="21.75" hidden="false" customHeight="true" outlineLevel="0" collapsed="false">
      <c r="A4" s="10" t="s">
        <v>56</v>
      </c>
      <c r="B4" s="11" t="s">
        <v>15</v>
      </c>
      <c r="C4" s="11" t="s">
        <v>57</v>
      </c>
      <c r="D4" s="11" t="s">
        <v>58</v>
      </c>
      <c r="E4" s="11" t="s">
        <v>59</v>
      </c>
      <c r="F4" s="11" t="s">
        <v>60</v>
      </c>
      <c r="G4" s="11" t="s">
        <v>61</v>
      </c>
      <c r="H4" s="11" t="s">
        <v>62</v>
      </c>
      <c r="I4" s="11" t="s">
        <v>63</v>
      </c>
      <c r="J4" s="11" t="s">
        <v>5</v>
      </c>
      <c r="K4" s="11" t="s">
        <v>64</v>
      </c>
      <c r="L4" s="11" t="s">
        <v>65</v>
      </c>
      <c r="M4" s="11" t="s">
        <v>47</v>
      </c>
      <c r="N4" s="11" t="s">
        <v>48</v>
      </c>
    </row>
    <row r="5" customFormat="false" ht="21.75" hidden="false" customHeight="true" outlineLevel="0" collapsed="false">
      <c r="A5" s="10" t="s">
        <v>66</v>
      </c>
      <c r="B5" s="11" t="s">
        <v>15</v>
      </c>
      <c r="C5" s="11" t="s">
        <v>67</v>
      </c>
      <c r="D5" s="11" t="s">
        <v>68</v>
      </c>
      <c r="E5" s="11" t="s">
        <v>69</v>
      </c>
      <c r="F5" s="11" t="s">
        <v>70</v>
      </c>
      <c r="G5" s="11" t="s">
        <v>61</v>
      </c>
      <c r="H5" s="11" t="s">
        <v>62</v>
      </c>
      <c r="I5" s="11" t="s">
        <v>44</v>
      </c>
      <c r="J5" s="11" t="s">
        <v>5</v>
      </c>
      <c r="K5" s="11" t="s">
        <v>71</v>
      </c>
      <c r="L5" s="11" t="s">
        <v>72</v>
      </c>
      <c r="M5" s="11" t="s">
        <v>47</v>
      </c>
      <c r="N5" s="11" t="s">
        <v>48</v>
      </c>
    </row>
    <row r="6" customFormat="false" ht="21.75" hidden="false" customHeight="true" outlineLevel="0" collapsed="false">
      <c r="A6" s="10" t="s">
        <v>73</v>
      </c>
      <c r="B6" s="11" t="s">
        <v>15</v>
      </c>
      <c r="C6" s="11" t="s">
        <v>74</v>
      </c>
      <c r="D6" s="11" t="s">
        <v>75</v>
      </c>
      <c r="E6" s="11" t="s">
        <v>76</v>
      </c>
      <c r="F6" s="11" t="s">
        <v>77</v>
      </c>
      <c r="G6" s="11" t="s">
        <v>42</v>
      </c>
      <c r="H6" s="11" t="s">
        <v>62</v>
      </c>
      <c r="I6" s="11" t="s">
        <v>63</v>
      </c>
      <c r="J6" s="11" t="s">
        <v>5</v>
      </c>
      <c r="K6" s="11" t="s">
        <v>78</v>
      </c>
      <c r="L6" s="11" t="s">
        <v>79</v>
      </c>
      <c r="M6" s="11" t="s">
        <v>47</v>
      </c>
      <c r="N6" s="11" t="s">
        <v>48</v>
      </c>
    </row>
    <row r="7" customFormat="false" ht="21.75" hidden="false" customHeight="true" outlineLevel="0" collapsed="false">
      <c r="A7" s="10" t="s">
        <v>80</v>
      </c>
      <c r="B7" s="11" t="s">
        <v>15</v>
      </c>
      <c r="C7" s="11" t="s">
        <v>81</v>
      </c>
      <c r="D7" s="11" t="s">
        <v>82</v>
      </c>
      <c r="E7" s="11" t="s">
        <v>83</v>
      </c>
      <c r="F7" s="11" t="s">
        <v>84</v>
      </c>
      <c r="G7" s="11" t="s">
        <v>42</v>
      </c>
      <c r="H7" s="11" t="s">
        <v>53</v>
      </c>
      <c r="I7" s="11" t="s">
        <v>63</v>
      </c>
      <c r="J7" s="11" t="s">
        <v>5</v>
      </c>
      <c r="K7" s="11" t="s">
        <v>85</v>
      </c>
      <c r="L7" s="11" t="s">
        <v>86</v>
      </c>
      <c r="M7" s="11" t="s">
        <v>47</v>
      </c>
      <c r="N7" s="11" t="s">
        <v>48</v>
      </c>
    </row>
    <row r="8" customFormat="false" ht="21.75" hidden="false" customHeight="true" outlineLevel="0" collapsed="false">
      <c r="A8" s="10" t="s">
        <v>87</v>
      </c>
      <c r="B8" s="11" t="s">
        <v>15</v>
      </c>
      <c r="C8" s="11" t="s">
        <v>88</v>
      </c>
      <c r="D8" s="11" t="s">
        <v>89</v>
      </c>
      <c r="E8" s="11" t="s">
        <v>90</v>
      </c>
      <c r="F8" s="11" t="s">
        <v>91</v>
      </c>
      <c r="G8" s="11" t="s">
        <v>42</v>
      </c>
      <c r="H8" s="11" t="s">
        <v>53</v>
      </c>
      <c r="I8" s="11" t="s">
        <v>63</v>
      </c>
      <c r="J8" s="11" t="s">
        <v>5</v>
      </c>
      <c r="K8" s="11" t="s">
        <v>92</v>
      </c>
      <c r="L8" s="11" t="s">
        <v>93</v>
      </c>
      <c r="M8" s="11" t="s">
        <v>47</v>
      </c>
      <c r="N8" s="11" t="s">
        <v>48</v>
      </c>
    </row>
    <row r="9" customFormat="false" ht="32.25" hidden="false" customHeight="true" outlineLevel="0" collapsed="false">
      <c r="A9" s="10" t="s">
        <v>94</v>
      </c>
      <c r="B9" s="11" t="s">
        <v>15</v>
      </c>
      <c r="C9" s="11" t="s">
        <v>95</v>
      </c>
      <c r="D9" s="11" t="s">
        <v>96</v>
      </c>
      <c r="E9" s="11" t="s">
        <v>97</v>
      </c>
      <c r="F9" s="11" t="s">
        <v>98</v>
      </c>
      <c r="G9" s="11" t="s">
        <v>99</v>
      </c>
      <c r="H9" s="11" t="s">
        <v>62</v>
      </c>
      <c r="I9" s="11" t="s">
        <v>44</v>
      </c>
      <c r="J9" s="11" t="s">
        <v>6</v>
      </c>
      <c r="K9" s="11" t="s">
        <v>100</v>
      </c>
      <c r="L9" s="11" t="s">
        <v>101</v>
      </c>
      <c r="M9" s="11" t="s">
        <v>47</v>
      </c>
      <c r="N9" s="11" t="s">
        <v>48</v>
      </c>
    </row>
    <row r="10" customFormat="false" ht="21.75" hidden="false" customHeight="true" outlineLevel="0" collapsed="false">
      <c r="A10" s="10" t="s">
        <v>102</v>
      </c>
      <c r="B10" s="11" t="s">
        <v>15</v>
      </c>
      <c r="C10" s="11" t="s">
        <v>103</v>
      </c>
      <c r="D10" s="11" t="s">
        <v>104</v>
      </c>
      <c r="E10" s="11" t="s">
        <v>105</v>
      </c>
      <c r="F10" s="11" t="s">
        <v>106</v>
      </c>
      <c r="G10" s="11" t="s">
        <v>42</v>
      </c>
      <c r="H10" s="11" t="s">
        <v>43</v>
      </c>
      <c r="I10" s="11" t="s">
        <v>63</v>
      </c>
      <c r="J10" s="11" t="s">
        <v>5</v>
      </c>
      <c r="K10" s="11" t="s">
        <v>107</v>
      </c>
      <c r="L10" s="11"/>
      <c r="M10" s="11" t="s">
        <v>47</v>
      </c>
      <c r="N10" s="11" t="s">
        <v>48</v>
      </c>
    </row>
    <row r="11" customFormat="false" ht="21.75" hidden="false" customHeight="true" outlineLevel="0" collapsed="false">
      <c r="A11" s="10" t="s">
        <v>108</v>
      </c>
      <c r="B11" s="11" t="s">
        <v>15</v>
      </c>
      <c r="C11" s="11" t="s">
        <v>109</v>
      </c>
      <c r="D11" s="11" t="s">
        <v>110</v>
      </c>
      <c r="E11" s="11" t="s">
        <v>111</v>
      </c>
      <c r="F11" s="11" t="s">
        <v>112</v>
      </c>
      <c r="G11" s="11" t="s">
        <v>61</v>
      </c>
      <c r="H11" s="11" t="s">
        <v>62</v>
      </c>
      <c r="I11" s="11" t="s">
        <v>63</v>
      </c>
      <c r="J11" s="11" t="s">
        <v>5</v>
      </c>
      <c r="K11" s="11" t="s">
        <v>113</v>
      </c>
      <c r="L11" s="11" t="s">
        <v>114</v>
      </c>
      <c r="M11" s="11" t="s">
        <v>47</v>
      </c>
      <c r="N11" s="11" t="s">
        <v>48</v>
      </c>
    </row>
    <row r="12" customFormat="false" ht="21.75" hidden="false" customHeight="true" outlineLevel="0" collapsed="false">
      <c r="A12" s="10" t="s">
        <v>115</v>
      </c>
      <c r="B12" s="11" t="s">
        <v>16</v>
      </c>
      <c r="C12" s="11" t="s">
        <v>116</v>
      </c>
      <c r="D12" s="11" t="s">
        <v>117</v>
      </c>
      <c r="E12" s="11" t="s">
        <v>118</v>
      </c>
      <c r="F12" s="11" t="s">
        <v>119</v>
      </c>
      <c r="G12" s="11" t="s">
        <v>61</v>
      </c>
      <c r="H12" s="11" t="s">
        <v>43</v>
      </c>
      <c r="I12" s="11" t="s">
        <v>44</v>
      </c>
      <c r="J12" s="11" t="s">
        <v>5</v>
      </c>
      <c r="K12" s="11" t="s">
        <v>120</v>
      </c>
      <c r="L12" s="11" t="s">
        <v>121</v>
      </c>
      <c r="M12" s="11" t="s">
        <v>47</v>
      </c>
      <c r="N12" s="11" t="s">
        <v>48</v>
      </c>
    </row>
    <row r="13" customFormat="false" ht="21.75" hidden="false" customHeight="true" outlineLevel="0" collapsed="false">
      <c r="A13" s="10" t="s">
        <v>122</v>
      </c>
      <c r="B13" s="11" t="s">
        <v>16</v>
      </c>
      <c r="C13" s="11" t="s">
        <v>123</v>
      </c>
      <c r="D13" s="11" t="s">
        <v>124</v>
      </c>
      <c r="E13" s="11" t="s">
        <v>125</v>
      </c>
      <c r="F13" s="11" t="s">
        <v>126</v>
      </c>
      <c r="G13" s="11" t="s">
        <v>61</v>
      </c>
      <c r="H13" s="11" t="s">
        <v>43</v>
      </c>
      <c r="I13" s="11" t="s">
        <v>44</v>
      </c>
      <c r="J13" s="11" t="s">
        <v>5</v>
      </c>
      <c r="K13" s="11" t="s">
        <v>127</v>
      </c>
      <c r="L13" s="11" t="s">
        <v>128</v>
      </c>
      <c r="M13" s="11" t="s">
        <v>47</v>
      </c>
      <c r="N13" s="11" t="s">
        <v>48</v>
      </c>
    </row>
    <row r="14" customFormat="false" ht="21.75" hidden="false" customHeight="true" outlineLevel="0" collapsed="false">
      <c r="A14" s="10" t="s">
        <v>129</v>
      </c>
      <c r="B14" s="11" t="s">
        <v>16</v>
      </c>
      <c r="C14" s="11" t="s">
        <v>130</v>
      </c>
      <c r="D14" s="11" t="s">
        <v>131</v>
      </c>
      <c r="E14" s="11" t="s">
        <v>132</v>
      </c>
      <c r="F14" s="11" t="s">
        <v>133</v>
      </c>
      <c r="G14" s="11" t="s">
        <v>61</v>
      </c>
      <c r="H14" s="11" t="s">
        <v>43</v>
      </c>
      <c r="I14" s="11" t="s">
        <v>44</v>
      </c>
      <c r="J14" s="11" t="s">
        <v>5</v>
      </c>
      <c r="K14" s="11" t="s">
        <v>134</v>
      </c>
      <c r="L14" s="11" t="s">
        <v>135</v>
      </c>
      <c r="M14" s="11" t="s">
        <v>47</v>
      </c>
      <c r="N14" s="11" t="s">
        <v>48</v>
      </c>
    </row>
    <row r="15" customFormat="false" ht="21.75" hidden="false" customHeight="true" outlineLevel="0" collapsed="false">
      <c r="A15" s="10" t="s">
        <v>136</v>
      </c>
      <c r="B15" s="11" t="s">
        <v>16</v>
      </c>
      <c r="C15" s="11" t="s">
        <v>137</v>
      </c>
      <c r="D15" s="11" t="s">
        <v>138</v>
      </c>
      <c r="E15" s="11" t="s">
        <v>139</v>
      </c>
      <c r="F15" s="11" t="s">
        <v>140</v>
      </c>
      <c r="G15" s="11" t="s">
        <v>61</v>
      </c>
      <c r="H15" s="11" t="s">
        <v>43</v>
      </c>
      <c r="I15" s="11" t="s">
        <v>44</v>
      </c>
      <c r="J15" s="11" t="s">
        <v>5</v>
      </c>
      <c r="K15" s="11" t="s">
        <v>141</v>
      </c>
      <c r="L15" s="11" t="s">
        <v>142</v>
      </c>
      <c r="M15" s="11" t="s">
        <v>47</v>
      </c>
      <c r="N15" s="11" t="s">
        <v>48</v>
      </c>
    </row>
    <row r="16" customFormat="false" ht="21.75" hidden="false" customHeight="true" outlineLevel="0" collapsed="false">
      <c r="A16" s="10" t="s">
        <v>143</v>
      </c>
      <c r="B16" s="11" t="s">
        <v>16</v>
      </c>
      <c r="C16" s="11" t="s">
        <v>144</v>
      </c>
      <c r="D16" s="11" t="s">
        <v>145</v>
      </c>
      <c r="E16" s="11" t="s">
        <v>146</v>
      </c>
      <c r="F16" s="11" t="s">
        <v>147</v>
      </c>
      <c r="G16" s="11" t="s">
        <v>61</v>
      </c>
      <c r="H16" s="11" t="s">
        <v>43</v>
      </c>
      <c r="I16" s="11" t="s">
        <v>44</v>
      </c>
      <c r="J16" s="11" t="s">
        <v>5</v>
      </c>
      <c r="K16" s="11" t="s">
        <v>148</v>
      </c>
      <c r="L16" s="11" t="s">
        <v>149</v>
      </c>
      <c r="M16" s="11" t="s">
        <v>47</v>
      </c>
      <c r="N16" s="11" t="s">
        <v>48</v>
      </c>
    </row>
    <row r="17" customFormat="false" ht="21.75" hidden="false" customHeight="true" outlineLevel="0" collapsed="false">
      <c r="A17" s="10" t="s">
        <v>150</v>
      </c>
      <c r="B17" s="11" t="s">
        <v>16</v>
      </c>
      <c r="C17" s="11" t="s">
        <v>151</v>
      </c>
      <c r="D17" s="11" t="s">
        <v>152</v>
      </c>
      <c r="E17" s="11" t="s">
        <v>153</v>
      </c>
      <c r="F17" s="11" t="s">
        <v>154</v>
      </c>
      <c r="G17" s="11" t="s">
        <v>61</v>
      </c>
      <c r="H17" s="11" t="s">
        <v>43</v>
      </c>
      <c r="I17" s="11" t="s">
        <v>44</v>
      </c>
      <c r="J17" s="11" t="s">
        <v>5</v>
      </c>
      <c r="K17" s="11" t="s">
        <v>155</v>
      </c>
      <c r="L17" s="11" t="s">
        <v>156</v>
      </c>
      <c r="M17" s="11" t="s">
        <v>47</v>
      </c>
      <c r="N17" s="11" t="s">
        <v>48</v>
      </c>
    </row>
    <row r="18" customFormat="false" ht="21.75" hidden="false" customHeight="true" outlineLevel="0" collapsed="false">
      <c r="A18" s="10" t="s">
        <v>157</v>
      </c>
      <c r="B18" s="11" t="s">
        <v>16</v>
      </c>
      <c r="C18" s="11" t="s">
        <v>158</v>
      </c>
      <c r="D18" s="11" t="s">
        <v>159</v>
      </c>
      <c r="E18" s="11" t="s">
        <v>160</v>
      </c>
      <c r="F18" s="11" t="s">
        <v>161</v>
      </c>
      <c r="G18" s="11" t="s">
        <v>61</v>
      </c>
      <c r="H18" s="11" t="s">
        <v>43</v>
      </c>
      <c r="I18" s="11" t="s">
        <v>44</v>
      </c>
      <c r="J18" s="11" t="s">
        <v>5</v>
      </c>
      <c r="K18" s="11" t="s">
        <v>162</v>
      </c>
      <c r="L18" s="11"/>
      <c r="M18" s="11" t="s">
        <v>47</v>
      </c>
      <c r="N18" s="11" t="s">
        <v>48</v>
      </c>
    </row>
    <row r="19" customFormat="false" ht="21.75" hidden="false" customHeight="true" outlineLevel="0" collapsed="false">
      <c r="A19" s="10" t="s">
        <v>163</v>
      </c>
      <c r="B19" s="11" t="s">
        <v>16</v>
      </c>
      <c r="C19" s="11" t="s">
        <v>164</v>
      </c>
      <c r="D19" s="11" t="s">
        <v>165</v>
      </c>
      <c r="E19" s="11" t="s">
        <v>166</v>
      </c>
      <c r="F19" s="11" t="s">
        <v>167</v>
      </c>
      <c r="G19" s="11" t="s">
        <v>99</v>
      </c>
      <c r="H19" s="11" t="s">
        <v>43</v>
      </c>
      <c r="I19" s="11" t="s">
        <v>168</v>
      </c>
      <c r="J19" s="11" t="s">
        <v>5</v>
      </c>
      <c r="K19" s="11" t="s">
        <v>169</v>
      </c>
      <c r="L19" s="11" t="s">
        <v>170</v>
      </c>
      <c r="M19" s="11" t="s">
        <v>47</v>
      </c>
      <c r="N19" s="11" t="s">
        <v>48</v>
      </c>
    </row>
    <row r="20" customFormat="false" ht="21.75" hidden="false" customHeight="true" outlineLevel="0" collapsed="false">
      <c r="A20" s="10" t="s">
        <v>171</v>
      </c>
      <c r="B20" s="11" t="s">
        <v>16</v>
      </c>
      <c r="C20" s="11" t="s">
        <v>172</v>
      </c>
      <c r="D20" s="11" t="s">
        <v>152</v>
      </c>
      <c r="E20" s="11" t="s">
        <v>173</v>
      </c>
      <c r="F20" s="11" t="s">
        <v>174</v>
      </c>
      <c r="G20" s="11" t="s">
        <v>42</v>
      </c>
      <c r="H20" s="11" t="s">
        <v>53</v>
      </c>
      <c r="I20" s="11" t="s">
        <v>63</v>
      </c>
      <c r="J20" s="11" t="s">
        <v>5</v>
      </c>
      <c r="K20" s="11" t="s">
        <v>175</v>
      </c>
      <c r="L20" s="11"/>
      <c r="M20" s="11" t="s">
        <v>47</v>
      </c>
      <c r="N20" s="11" t="s">
        <v>48</v>
      </c>
    </row>
    <row r="21" customFormat="false" ht="32.25" hidden="false" customHeight="true" outlineLevel="0" collapsed="false">
      <c r="A21" s="10" t="s">
        <v>176</v>
      </c>
      <c r="B21" s="11" t="s">
        <v>16</v>
      </c>
      <c r="C21" s="11" t="s">
        <v>177</v>
      </c>
      <c r="D21" s="11" t="s">
        <v>178</v>
      </c>
      <c r="E21" s="11" t="s">
        <v>179</v>
      </c>
      <c r="F21" s="11" t="s">
        <v>180</v>
      </c>
      <c r="G21" s="11" t="s">
        <v>42</v>
      </c>
      <c r="H21" s="11" t="s">
        <v>53</v>
      </c>
      <c r="I21" s="11" t="s">
        <v>63</v>
      </c>
      <c r="J21" s="11" t="s">
        <v>5</v>
      </c>
      <c r="K21" s="11" t="s">
        <v>181</v>
      </c>
      <c r="L21" s="11" t="s">
        <v>182</v>
      </c>
      <c r="M21" s="11" t="s">
        <v>47</v>
      </c>
      <c r="N21" s="11" t="s">
        <v>48</v>
      </c>
    </row>
    <row r="22" customFormat="false" ht="21.75" hidden="false" customHeight="true" outlineLevel="0" collapsed="false">
      <c r="A22" s="10" t="s">
        <v>183</v>
      </c>
      <c r="B22" s="11" t="s">
        <v>16</v>
      </c>
      <c r="C22" s="11" t="s">
        <v>184</v>
      </c>
      <c r="D22" s="11" t="s">
        <v>185</v>
      </c>
      <c r="E22" s="11" t="s">
        <v>186</v>
      </c>
      <c r="F22" s="11" t="s">
        <v>187</v>
      </c>
      <c r="G22" s="11" t="s">
        <v>61</v>
      </c>
      <c r="H22" s="11" t="s">
        <v>53</v>
      </c>
      <c r="I22" s="11" t="s">
        <v>63</v>
      </c>
      <c r="J22" s="11" t="s">
        <v>5</v>
      </c>
      <c r="K22" s="11" t="s">
        <v>188</v>
      </c>
      <c r="L22" s="11" t="s">
        <v>189</v>
      </c>
      <c r="M22" s="11" t="s">
        <v>47</v>
      </c>
      <c r="N22" s="11" t="s">
        <v>48</v>
      </c>
    </row>
    <row r="23" customFormat="false" ht="32.25" hidden="false" customHeight="true" outlineLevel="0" collapsed="false">
      <c r="A23" s="10" t="s">
        <v>190</v>
      </c>
      <c r="B23" s="11" t="s">
        <v>16</v>
      </c>
      <c r="C23" s="11" t="s">
        <v>191</v>
      </c>
      <c r="D23" s="11" t="s">
        <v>192</v>
      </c>
      <c r="E23" s="11" t="s">
        <v>193</v>
      </c>
      <c r="F23" s="11" t="s">
        <v>194</v>
      </c>
      <c r="G23" s="11" t="s">
        <v>61</v>
      </c>
      <c r="H23" s="11" t="s">
        <v>53</v>
      </c>
      <c r="I23" s="11" t="s">
        <v>44</v>
      </c>
      <c r="J23" s="11" t="s">
        <v>6</v>
      </c>
      <c r="K23" s="11" t="s">
        <v>195</v>
      </c>
      <c r="L23" s="11" t="s">
        <v>196</v>
      </c>
      <c r="M23" s="11" t="s">
        <v>47</v>
      </c>
      <c r="N23" s="11" t="s">
        <v>48</v>
      </c>
    </row>
    <row r="24" customFormat="false" ht="21.75" hidden="false" customHeight="true" outlineLevel="0" collapsed="false">
      <c r="A24" s="10" t="s">
        <v>197</v>
      </c>
      <c r="B24" s="11" t="s">
        <v>17</v>
      </c>
      <c r="C24" s="11" t="s">
        <v>198</v>
      </c>
      <c r="D24" s="11" t="s">
        <v>199</v>
      </c>
      <c r="E24" s="11" t="s">
        <v>200</v>
      </c>
      <c r="F24" s="11" t="s">
        <v>201</v>
      </c>
      <c r="G24" s="11" t="s">
        <v>42</v>
      </c>
      <c r="H24" s="11" t="s">
        <v>202</v>
      </c>
      <c r="I24" s="11" t="s">
        <v>44</v>
      </c>
      <c r="J24" s="11" t="s">
        <v>5</v>
      </c>
      <c r="K24" s="11" t="s">
        <v>203</v>
      </c>
      <c r="L24" s="11" t="s">
        <v>204</v>
      </c>
      <c r="M24" s="11" t="s">
        <v>47</v>
      </c>
      <c r="N24" s="11" t="s">
        <v>48</v>
      </c>
    </row>
    <row r="25" customFormat="false" ht="21.75" hidden="false" customHeight="true" outlineLevel="0" collapsed="false">
      <c r="A25" s="10" t="s">
        <v>205</v>
      </c>
      <c r="B25" s="11" t="s">
        <v>17</v>
      </c>
      <c r="C25" s="11" t="s">
        <v>206</v>
      </c>
      <c r="D25" s="11" t="s">
        <v>207</v>
      </c>
      <c r="E25" s="11" t="s">
        <v>208</v>
      </c>
      <c r="F25" s="11" t="s">
        <v>209</v>
      </c>
      <c r="G25" s="11" t="s">
        <v>61</v>
      </c>
      <c r="H25" s="11" t="s">
        <v>202</v>
      </c>
      <c r="I25" s="11" t="s">
        <v>44</v>
      </c>
      <c r="J25" s="11" t="s">
        <v>5</v>
      </c>
      <c r="K25" s="11" t="s">
        <v>210</v>
      </c>
      <c r="L25" s="11" t="s">
        <v>211</v>
      </c>
      <c r="M25" s="11" t="s">
        <v>47</v>
      </c>
      <c r="N25" s="11" t="s">
        <v>48</v>
      </c>
    </row>
    <row r="26" customFormat="false" ht="21.75" hidden="false" customHeight="true" outlineLevel="0" collapsed="false">
      <c r="A26" s="10" t="s">
        <v>212</v>
      </c>
      <c r="B26" s="11" t="s">
        <v>17</v>
      </c>
      <c r="C26" s="11" t="s">
        <v>213</v>
      </c>
      <c r="D26" s="11" t="s">
        <v>214</v>
      </c>
      <c r="E26" s="11" t="s">
        <v>215</v>
      </c>
      <c r="F26" s="11" t="s">
        <v>216</v>
      </c>
      <c r="G26" s="11" t="s">
        <v>61</v>
      </c>
      <c r="H26" s="11" t="s">
        <v>202</v>
      </c>
      <c r="I26" s="11" t="s">
        <v>44</v>
      </c>
      <c r="J26" s="11" t="s">
        <v>5</v>
      </c>
      <c r="K26" s="11" t="s">
        <v>217</v>
      </c>
      <c r="L26" s="11" t="s">
        <v>218</v>
      </c>
      <c r="M26" s="11" t="s">
        <v>47</v>
      </c>
      <c r="N26" s="11" t="s">
        <v>48</v>
      </c>
    </row>
    <row r="27" customFormat="false" ht="32.25" hidden="false" customHeight="true" outlineLevel="0" collapsed="false">
      <c r="A27" s="10" t="s">
        <v>219</v>
      </c>
      <c r="B27" s="11" t="s">
        <v>17</v>
      </c>
      <c r="C27" s="11" t="s">
        <v>220</v>
      </c>
      <c r="D27" s="11" t="s">
        <v>221</v>
      </c>
      <c r="E27" s="11" t="s">
        <v>222</v>
      </c>
      <c r="F27" s="11" t="s">
        <v>223</v>
      </c>
      <c r="G27" s="11" t="s">
        <v>42</v>
      </c>
      <c r="H27" s="11" t="s">
        <v>202</v>
      </c>
      <c r="I27" s="11" t="s">
        <v>44</v>
      </c>
      <c r="J27" s="11" t="s">
        <v>5</v>
      </c>
      <c r="K27" s="11" t="s">
        <v>224</v>
      </c>
      <c r="L27" s="11" t="s">
        <v>225</v>
      </c>
      <c r="M27" s="11" t="s">
        <v>47</v>
      </c>
      <c r="N27" s="11" t="s">
        <v>48</v>
      </c>
    </row>
    <row r="28" customFormat="false" ht="21.75" hidden="false" customHeight="true" outlineLevel="0" collapsed="false">
      <c r="A28" s="10" t="s">
        <v>226</v>
      </c>
      <c r="B28" s="11" t="s">
        <v>17</v>
      </c>
      <c r="C28" s="11" t="s">
        <v>227</v>
      </c>
      <c r="D28" s="11" t="s">
        <v>228</v>
      </c>
      <c r="E28" s="11" t="s">
        <v>229</v>
      </c>
      <c r="F28" s="11" t="s">
        <v>230</v>
      </c>
      <c r="G28" s="11" t="s">
        <v>61</v>
      </c>
      <c r="H28" s="11" t="s">
        <v>202</v>
      </c>
      <c r="I28" s="11" t="s">
        <v>44</v>
      </c>
      <c r="J28" s="11" t="s">
        <v>5</v>
      </c>
      <c r="K28" s="11" t="s">
        <v>231</v>
      </c>
      <c r="L28" s="11" t="s">
        <v>232</v>
      </c>
      <c r="M28" s="11" t="s">
        <v>47</v>
      </c>
      <c r="N28" s="11" t="s">
        <v>48</v>
      </c>
    </row>
    <row r="29" customFormat="false" ht="21.75" hidden="false" customHeight="true" outlineLevel="0" collapsed="false">
      <c r="A29" s="10" t="s">
        <v>233</v>
      </c>
      <c r="B29" s="11" t="s">
        <v>17</v>
      </c>
      <c r="C29" s="11" t="s">
        <v>234</v>
      </c>
      <c r="D29" s="11" t="s">
        <v>235</v>
      </c>
      <c r="E29" s="11" t="s">
        <v>236</v>
      </c>
      <c r="F29" s="11" t="s">
        <v>237</v>
      </c>
      <c r="G29" s="11" t="s">
        <v>61</v>
      </c>
      <c r="H29" s="11" t="s">
        <v>202</v>
      </c>
      <c r="I29" s="11" t="s">
        <v>44</v>
      </c>
      <c r="J29" s="11" t="s">
        <v>5</v>
      </c>
      <c r="K29" s="11" t="s">
        <v>238</v>
      </c>
      <c r="L29" s="11" t="s">
        <v>239</v>
      </c>
      <c r="M29" s="11" t="s">
        <v>47</v>
      </c>
      <c r="N29" s="11" t="s">
        <v>48</v>
      </c>
    </row>
    <row r="30" customFormat="false" ht="21.75" hidden="false" customHeight="true" outlineLevel="0" collapsed="false">
      <c r="A30" s="10" t="s">
        <v>240</v>
      </c>
      <c r="B30" s="11" t="s">
        <v>17</v>
      </c>
      <c r="C30" s="11" t="s">
        <v>241</v>
      </c>
      <c r="D30" s="11" t="s">
        <v>242</v>
      </c>
      <c r="E30" s="11" t="s">
        <v>243</v>
      </c>
      <c r="F30" s="11" t="s">
        <v>244</v>
      </c>
      <c r="G30" s="11" t="s">
        <v>61</v>
      </c>
      <c r="H30" s="11" t="s">
        <v>202</v>
      </c>
      <c r="I30" s="11" t="s">
        <v>44</v>
      </c>
      <c r="J30" s="11" t="s">
        <v>5</v>
      </c>
      <c r="K30" s="11" t="s">
        <v>245</v>
      </c>
      <c r="L30" s="11" t="s">
        <v>246</v>
      </c>
      <c r="M30" s="11" t="s">
        <v>47</v>
      </c>
      <c r="N30" s="11" t="s">
        <v>48</v>
      </c>
    </row>
    <row r="31" customFormat="false" ht="21.75" hidden="false" customHeight="true" outlineLevel="0" collapsed="false">
      <c r="A31" s="10" t="s">
        <v>247</v>
      </c>
      <c r="B31" s="11" t="s">
        <v>17</v>
      </c>
      <c r="C31" s="11" t="s">
        <v>248</v>
      </c>
      <c r="D31" s="11" t="s">
        <v>249</v>
      </c>
      <c r="E31" s="11" t="s">
        <v>250</v>
      </c>
      <c r="F31" s="11" t="s">
        <v>251</v>
      </c>
      <c r="G31" s="11" t="s">
        <v>61</v>
      </c>
      <c r="H31" s="11" t="s">
        <v>202</v>
      </c>
      <c r="I31" s="11" t="s">
        <v>44</v>
      </c>
      <c r="J31" s="11" t="s">
        <v>5</v>
      </c>
      <c r="K31" s="11" t="s">
        <v>252</v>
      </c>
      <c r="L31" s="11" t="s">
        <v>253</v>
      </c>
      <c r="M31" s="11" t="s">
        <v>47</v>
      </c>
      <c r="N31" s="11" t="s">
        <v>48</v>
      </c>
    </row>
    <row r="32" customFormat="false" ht="21.75" hidden="false" customHeight="true" outlineLevel="0" collapsed="false">
      <c r="A32" s="10" t="s">
        <v>254</v>
      </c>
      <c r="B32" s="11" t="s">
        <v>17</v>
      </c>
      <c r="C32" s="11" t="s">
        <v>255</v>
      </c>
      <c r="D32" s="11" t="s">
        <v>256</v>
      </c>
      <c r="E32" s="11" t="s">
        <v>257</v>
      </c>
      <c r="F32" s="11" t="s">
        <v>258</v>
      </c>
      <c r="G32" s="11" t="s">
        <v>61</v>
      </c>
      <c r="H32" s="11" t="s">
        <v>202</v>
      </c>
      <c r="I32" s="11" t="s">
        <v>44</v>
      </c>
      <c r="J32" s="11" t="s">
        <v>5</v>
      </c>
      <c r="K32" s="11" t="s">
        <v>259</v>
      </c>
      <c r="L32" s="11" t="s">
        <v>260</v>
      </c>
      <c r="M32" s="11" t="s">
        <v>47</v>
      </c>
      <c r="N32" s="11" t="s">
        <v>48</v>
      </c>
    </row>
    <row r="33" customFormat="false" ht="21.75" hidden="false" customHeight="true" outlineLevel="0" collapsed="false">
      <c r="A33" s="10" t="s">
        <v>261</v>
      </c>
      <c r="B33" s="11" t="s">
        <v>17</v>
      </c>
      <c r="C33" s="11" t="s">
        <v>262</v>
      </c>
      <c r="D33" s="11" t="s">
        <v>263</v>
      </c>
      <c r="E33" s="11" t="s">
        <v>264</v>
      </c>
      <c r="F33" s="11" t="s">
        <v>265</v>
      </c>
      <c r="G33" s="11" t="s">
        <v>42</v>
      </c>
      <c r="H33" s="11" t="s">
        <v>202</v>
      </c>
      <c r="I33" s="11" t="s">
        <v>44</v>
      </c>
      <c r="J33" s="11" t="s">
        <v>5</v>
      </c>
      <c r="K33" s="11" t="s">
        <v>266</v>
      </c>
      <c r="L33" s="11" t="s">
        <v>267</v>
      </c>
      <c r="M33" s="11" t="s">
        <v>47</v>
      </c>
      <c r="N33" s="11" t="s">
        <v>48</v>
      </c>
    </row>
    <row r="34" customFormat="false" ht="21.75" hidden="false" customHeight="true" outlineLevel="0" collapsed="false">
      <c r="A34" s="10" t="s">
        <v>268</v>
      </c>
      <c r="B34" s="11" t="s">
        <v>17</v>
      </c>
      <c r="C34" s="11" t="s">
        <v>269</v>
      </c>
      <c r="D34" s="11" t="s">
        <v>270</v>
      </c>
      <c r="E34" s="11" t="s">
        <v>271</v>
      </c>
      <c r="F34" s="11" t="s">
        <v>272</v>
      </c>
      <c r="G34" s="11" t="s">
        <v>42</v>
      </c>
      <c r="H34" s="11" t="s">
        <v>202</v>
      </c>
      <c r="I34" s="11" t="s">
        <v>44</v>
      </c>
      <c r="J34" s="11" t="s">
        <v>5</v>
      </c>
      <c r="K34" s="11" t="s">
        <v>273</v>
      </c>
      <c r="L34" s="11" t="s">
        <v>274</v>
      </c>
      <c r="M34" s="11" t="s">
        <v>47</v>
      </c>
      <c r="N34" s="11" t="s">
        <v>48</v>
      </c>
    </row>
    <row r="35" customFormat="false" ht="21.75" hidden="false" customHeight="true" outlineLevel="0" collapsed="false">
      <c r="A35" s="10" t="s">
        <v>275</v>
      </c>
      <c r="B35" s="11" t="s">
        <v>17</v>
      </c>
      <c r="C35" s="11" t="s">
        <v>276</v>
      </c>
      <c r="D35" s="11" t="s">
        <v>277</v>
      </c>
      <c r="E35" s="11" t="s">
        <v>278</v>
      </c>
      <c r="F35" s="11" t="s">
        <v>279</v>
      </c>
      <c r="G35" s="11" t="s">
        <v>42</v>
      </c>
      <c r="H35" s="11" t="s">
        <v>202</v>
      </c>
      <c r="I35" s="11" t="s">
        <v>44</v>
      </c>
      <c r="J35" s="11" t="s">
        <v>5</v>
      </c>
      <c r="K35" s="11" t="s">
        <v>280</v>
      </c>
      <c r="L35" s="11" t="s">
        <v>281</v>
      </c>
      <c r="M35" s="11" t="s">
        <v>47</v>
      </c>
      <c r="N35" s="11" t="s">
        <v>48</v>
      </c>
    </row>
    <row r="36" customFormat="false" ht="21.75" hidden="false" customHeight="true" outlineLevel="0" collapsed="false">
      <c r="A36" s="10" t="s">
        <v>282</v>
      </c>
      <c r="B36" s="11" t="s">
        <v>17</v>
      </c>
      <c r="C36" s="11" t="s">
        <v>283</v>
      </c>
      <c r="D36" s="11" t="s">
        <v>89</v>
      </c>
      <c r="E36" s="11" t="s">
        <v>284</v>
      </c>
      <c r="F36" s="11" t="s">
        <v>285</v>
      </c>
      <c r="G36" s="11" t="s">
        <v>42</v>
      </c>
      <c r="H36" s="11" t="s">
        <v>202</v>
      </c>
      <c r="I36" s="11" t="s">
        <v>63</v>
      </c>
      <c r="J36" s="11" t="s">
        <v>5</v>
      </c>
      <c r="K36" s="11" t="s">
        <v>286</v>
      </c>
      <c r="L36" s="11" t="s">
        <v>287</v>
      </c>
      <c r="M36" s="11" t="s">
        <v>47</v>
      </c>
      <c r="N36" s="11" t="s">
        <v>48</v>
      </c>
    </row>
    <row r="37" customFormat="false" ht="21.75" hidden="false" customHeight="true" outlineLevel="0" collapsed="false">
      <c r="A37" s="10" t="s">
        <v>288</v>
      </c>
      <c r="B37" s="11" t="s">
        <v>17</v>
      </c>
      <c r="C37" s="11" t="s">
        <v>289</v>
      </c>
      <c r="D37" s="11" t="s">
        <v>290</v>
      </c>
      <c r="E37" s="11" t="s">
        <v>291</v>
      </c>
      <c r="F37" s="11" t="s">
        <v>292</v>
      </c>
      <c r="G37" s="11" t="s">
        <v>61</v>
      </c>
      <c r="H37" s="11" t="s">
        <v>202</v>
      </c>
      <c r="I37" s="11" t="s">
        <v>44</v>
      </c>
      <c r="J37" s="11" t="s">
        <v>5</v>
      </c>
      <c r="K37" s="11" t="s">
        <v>293</v>
      </c>
      <c r="L37" s="11" t="s">
        <v>294</v>
      </c>
      <c r="M37" s="11" t="s">
        <v>47</v>
      </c>
      <c r="N37" s="11" t="s">
        <v>48</v>
      </c>
    </row>
    <row r="38" customFormat="false" ht="21.75" hidden="false" customHeight="true" outlineLevel="0" collapsed="false">
      <c r="A38" s="10" t="s">
        <v>295</v>
      </c>
      <c r="B38" s="11" t="s">
        <v>17</v>
      </c>
      <c r="C38" s="11" t="s">
        <v>296</v>
      </c>
      <c r="D38" s="11" t="s">
        <v>297</v>
      </c>
      <c r="E38" s="11" t="s">
        <v>298</v>
      </c>
      <c r="F38" s="11" t="s">
        <v>299</v>
      </c>
      <c r="G38" s="11" t="s">
        <v>61</v>
      </c>
      <c r="H38" s="11" t="s">
        <v>202</v>
      </c>
      <c r="I38" s="11" t="s">
        <v>44</v>
      </c>
      <c r="J38" s="11" t="s">
        <v>5</v>
      </c>
      <c r="K38" s="11" t="s">
        <v>300</v>
      </c>
      <c r="L38" s="11" t="s">
        <v>301</v>
      </c>
      <c r="M38" s="11" t="s">
        <v>47</v>
      </c>
      <c r="N38" s="11" t="s">
        <v>48</v>
      </c>
    </row>
    <row r="39" customFormat="false" ht="21.75" hidden="false" customHeight="true" outlineLevel="0" collapsed="false">
      <c r="A39" s="10" t="s">
        <v>302</v>
      </c>
      <c r="B39" s="11" t="s">
        <v>17</v>
      </c>
      <c r="C39" s="11" t="s">
        <v>303</v>
      </c>
      <c r="D39" s="11" t="s">
        <v>304</v>
      </c>
      <c r="E39" s="11" t="s">
        <v>305</v>
      </c>
      <c r="F39" s="11" t="s">
        <v>306</v>
      </c>
      <c r="G39" s="11" t="s">
        <v>61</v>
      </c>
      <c r="H39" s="11" t="s">
        <v>202</v>
      </c>
      <c r="I39" s="11" t="s">
        <v>44</v>
      </c>
      <c r="J39" s="11" t="s">
        <v>5</v>
      </c>
      <c r="K39" s="11" t="s">
        <v>307</v>
      </c>
      <c r="L39" s="11" t="s">
        <v>308</v>
      </c>
      <c r="M39" s="11" t="s">
        <v>47</v>
      </c>
      <c r="N39" s="11" t="s">
        <v>48</v>
      </c>
    </row>
    <row r="40" customFormat="false" ht="21.75" hidden="false" customHeight="true" outlineLevel="0" collapsed="false">
      <c r="A40" s="10" t="s">
        <v>309</v>
      </c>
      <c r="B40" s="11" t="s">
        <v>17</v>
      </c>
      <c r="C40" s="11" t="s">
        <v>310</v>
      </c>
      <c r="D40" s="11" t="s">
        <v>214</v>
      </c>
      <c r="E40" s="11" t="s">
        <v>311</v>
      </c>
      <c r="F40" s="11" t="s">
        <v>312</v>
      </c>
      <c r="G40" s="11" t="s">
        <v>61</v>
      </c>
      <c r="H40" s="11" t="s">
        <v>202</v>
      </c>
      <c r="I40" s="11" t="s">
        <v>44</v>
      </c>
      <c r="J40" s="11" t="s">
        <v>5</v>
      </c>
      <c r="K40" s="11" t="s">
        <v>313</v>
      </c>
      <c r="L40" s="11" t="s">
        <v>314</v>
      </c>
      <c r="M40" s="11" t="s">
        <v>47</v>
      </c>
      <c r="N40" s="11" t="s">
        <v>48</v>
      </c>
    </row>
    <row r="41" customFormat="false" ht="21.75" hidden="false" customHeight="true" outlineLevel="0" collapsed="false">
      <c r="A41" s="10" t="s">
        <v>315</v>
      </c>
      <c r="B41" s="11" t="s">
        <v>17</v>
      </c>
      <c r="C41" s="11" t="s">
        <v>316</v>
      </c>
      <c r="D41" s="11" t="s">
        <v>317</v>
      </c>
      <c r="E41" s="11" t="s">
        <v>318</v>
      </c>
      <c r="F41" s="11" t="s">
        <v>319</v>
      </c>
      <c r="G41" s="11" t="s">
        <v>61</v>
      </c>
      <c r="H41" s="11" t="s">
        <v>202</v>
      </c>
      <c r="I41" s="11" t="s">
        <v>44</v>
      </c>
      <c r="J41" s="11" t="s">
        <v>5</v>
      </c>
      <c r="K41" s="11" t="s">
        <v>320</v>
      </c>
      <c r="L41" s="11"/>
      <c r="M41" s="11" t="s">
        <v>47</v>
      </c>
      <c r="N41" s="11" t="s">
        <v>48</v>
      </c>
    </row>
    <row r="42" customFormat="false" ht="21.75" hidden="false" customHeight="true" outlineLevel="0" collapsed="false">
      <c r="A42" s="10" t="s">
        <v>321</v>
      </c>
      <c r="B42" s="11" t="s">
        <v>18</v>
      </c>
      <c r="C42" s="11" t="s">
        <v>322</v>
      </c>
      <c r="D42" s="11" t="s">
        <v>323</v>
      </c>
      <c r="E42" s="11" t="s">
        <v>324</v>
      </c>
      <c r="F42" s="11" t="s">
        <v>325</v>
      </c>
      <c r="G42" s="11" t="s">
        <v>42</v>
      </c>
      <c r="H42" s="11" t="s">
        <v>202</v>
      </c>
      <c r="I42" s="11" t="s">
        <v>44</v>
      </c>
      <c r="J42" s="11" t="s">
        <v>5</v>
      </c>
      <c r="K42" s="11" t="s">
        <v>326</v>
      </c>
      <c r="L42" s="11" t="s">
        <v>327</v>
      </c>
      <c r="M42" s="11" t="s">
        <v>47</v>
      </c>
      <c r="N42" s="11" t="s">
        <v>48</v>
      </c>
    </row>
    <row r="43" customFormat="false" ht="21.75" hidden="false" customHeight="true" outlineLevel="0" collapsed="false">
      <c r="A43" s="10" t="s">
        <v>328</v>
      </c>
      <c r="B43" s="11" t="s">
        <v>18</v>
      </c>
      <c r="C43" s="11" t="s">
        <v>329</v>
      </c>
      <c r="D43" s="11" t="s">
        <v>330</v>
      </c>
      <c r="E43" s="11" t="s">
        <v>331</v>
      </c>
      <c r="F43" s="11" t="s">
        <v>332</v>
      </c>
      <c r="G43" s="11" t="s">
        <v>42</v>
      </c>
      <c r="H43" s="11" t="s">
        <v>202</v>
      </c>
      <c r="I43" s="11" t="s">
        <v>44</v>
      </c>
      <c r="J43" s="11" t="s">
        <v>5</v>
      </c>
      <c r="K43" s="11" t="s">
        <v>333</v>
      </c>
      <c r="L43" s="11" t="s">
        <v>334</v>
      </c>
      <c r="M43" s="11" t="s">
        <v>47</v>
      </c>
      <c r="N43" s="11" t="s">
        <v>48</v>
      </c>
    </row>
    <row r="44" customFormat="false" ht="21.75" hidden="false" customHeight="true" outlineLevel="0" collapsed="false">
      <c r="A44" s="10" t="s">
        <v>335</v>
      </c>
      <c r="B44" s="11" t="s">
        <v>18</v>
      </c>
      <c r="C44" s="11" t="s">
        <v>336</v>
      </c>
      <c r="D44" s="11" t="s">
        <v>337</v>
      </c>
      <c r="E44" s="11" t="s">
        <v>338</v>
      </c>
      <c r="F44" s="11" t="s">
        <v>339</v>
      </c>
      <c r="G44" s="11" t="s">
        <v>61</v>
      </c>
      <c r="H44" s="11" t="s">
        <v>202</v>
      </c>
      <c r="I44" s="11" t="s">
        <v>44</v>
      </c>
      <c r="J44" s="11" t="s">
        <v>5</v>
      </c>
      <c r="K44" s="11" t="s">
        <v>340</v>
      </c>
      <c r="L44" s="11" t="s">
        <v>341</v>
      </c>
      <c r="M44" s="11" t="s">
        <v>47</v>
      </c>
      <c r="N44" s="11" t="s">
        <v>48</v>
      </c>
    </row>
    <row r="45" customFormat="false" ht="21.75" hidden="false" customHeight="true" outlineLevel="0" collapsed="false">
      <c r="A45" s="10" t="s">
        <v>342</v>
      </c>
      <c r="B45" s="11" t="s">
        <v>18</v>
      </c>
      <c r="C45" s="11" t="s">
        <v>343</v>
      </c>
      <c r="D45" s="11" t="s">
        <v>277</v>
      </c>
      <c r="E45" s="11" t="s">
        <v>344</v>
      </c>
      <c r="F45" s="11" t="s">
        <v>345</v>
      </c>
      <c r="G45" s="11" t="s">
        <v>42</v>
      </c>
      <c r="H45" s="11" t="s">
        <v>202</v>
      </c>
      <c r="I45" s="11" t="s">
        <v>44</v>
      </c>
      <c r="J45" s="11" t="s">
        <v>5</v>
      </c>
      <c r="K45" s="11" t="s">
        <v>346</v>
      </c>
      <c r="L45" s="11" t="s">
        <v>347</v>
      </c>
      <c r="M45" s="11" t="s">
        <v>47</v>
      </c>
      <c r="N45" s="11" t="s">
        <v>48</v>
      </c>
    </row>
    <row r="46" customFormat="false" ht="21.75" hidden="false" customHeight="true" outlineLevel="0" collapsed="false">
      <c r="A46" s="10" t="s">
        <v>348</v>
      </c>
      <c r="B46" s="11" t="s">
        <v>18</v>
      </c>
      <c r="C46" s="11" t="s">
        <v>349</v>
      </c>
      <c r="D46" s="11" t="s">
        <v>350</v>
      </c>
      <c r="E46" s="11" t="s">
        <v>351</v>
      </c>
      <c r="F46" s="11" t="s">
        <v>352</v>
      </c>
      <c r="G46" s="11" t="s">
        <v>61</v>
      </c>
      <c r="H46" s="11" t="s">
        <v>202</v>
      </c>
      <c r="I46" s="11" t="s">
        <v>44</v>
      </c>
      <c r="J46" s="11" t="s">
        <v>5</v>
      </c>
      <c r="K46" s="11" t="s">
        <v>353</v>
      </c>
      <c r="L46" s="11" t="s">
        <v>354</v>
      </c>
      <c r="M46" s="11" t="s">
        <v>47</v>
      </c>
      <c r="N46" s="11" t="s">
        <v>48</v>
      </c>
    </row>
    <row r="47" customFormat="false" ht="21.75" hidden="false" customHeight="true" outlineLevel="0" collapsed="false">
      <c r="A47" s="10" t="s">
        <v>355</v>
      </c>
      <c r="B47" s="11" t="s">
        <v>18</v>
      </c>
      <c r="C47" s="11" t="s">
        <v>356</v>
      </c>
      <c r="D47" s="11" t="s">
        <v>357</v>
      </c>
      <c r="E47" s="11" t="s">
        <v>358</v>
      </c>
      <c r="F47" s="11" t="s">
        <v>359</v>
      </c>
      <c r="G47" s="11" t="s">
        <v>61</v>
      </c>
      <c r="H47" s="11" t="s">
        <v>202</v>
      </c>
      <c r="I47" s="11" t="s">
        <v>44</v>
      </c>
      <c r="J47" s="11" t="s">
        <v>5</v>
      </c>
      <c r="K47" s="11" t="s">
        <v>360</v>
      </c>
      <c r="L47" s="11" t="s">
        <v>361</v>
      </c>
      <c r="M47" s="11" t="s">
        <v>47</v>
      </c>
      <c r="N47" s="11" t="s">
        <v>48</v>
      </c>
    </row>
    <row r="48" customFormat="false" ht="21.75" hidden="false" customHeight="true" outlineLevel="0" collapsed="false">
      <c r="A48" s="10" t="s">
        <v>362</v>
      </c>
      <c r="B48" s="11" t="s">
        <v>18</v>
      </c>
      <c r="C48" s="11" t="s">
        <v>363</v>
      </c>
      <c r="D48" s="11" t="s">
        <v>364</v>
      </c>
      <c r="E48" s="11" t="s">
        <v>365</v>
      </c>
      <c r="F48" s="11" t="s">
        <v>366</v>
      </c>
      <c r="G48" s="11" t="s">
        <v>42</v>
      </c>
      <c r="H48" s="11" t="s">
        <v>202</v>
      </c>
      <c r="I48" s="11" t="s">
        <v>44</v>
      </c>
      <c r="J48" s="11" t="s">
        <v>5</v>
      </c>
      <c r="K48" s="11" t="s">
        <v>367</v>
      </c>
      <c r="L48" s="11" t="s">
        <v>368</v>
      </c>
      <c r="M48" s="11" t="s">
        <v>47</v>
      </c>
      <c r="N48" s="11" t="s">
        <v>48</v>
      </c>
    </row>
    <row r="49" customFormat="false" ht="21.75" hidden="false" customHeight="true" outlineLevel="0" collapsed="false">
      <c r="A49" s="10" t="s">
        <v>369</v>
      </c>
      <c r="B49" s="11" t="s">
        <v>18</v>
      </c>
      <c r="C49" s="11" t="s">
        <v>370</v>
      </c>
      <c r="D49" s="11" t="s">
        <v>371</v>
      </c>
      <c r="E49" s="11" t="s">
        <v>372</v>
      </c>
      <c r="F49" s="11" t="s">
        <v>373</v>
      </c>
      <c r="G49" s="11" t="s">
        <v>61</v>
      </c>
      <c r="H49" s="11" t="s">
        <v>202</v>
      </c>
      <c r="I49" s="11" t="s">
        <v>44</v>
      </c>
      <c r="J49" s="11" t="s">
        <v>5</v>
      </c>
      <c r="K49" s="11" t="s">
        <v>374</v>
      </c>
      <c r="L49" s="11" t="s">
        <v>375</v>
      </c>
      <c r="M49" s="11" t="s">
        <v>47</v>
      </c>
      <c r="N49" s="11" t="s">
        <v>48</v>
      </c>
    </row>
    <row r="50" customFormat="false" ht="32.25" hidden="false" customHeight="true" outlineLevel="0" collapsed="false">
      <c r="A50" s="10" t="s">
        <v>376</v>
      </c>
      <c r="B50" s="11" t="s">
        <v>18</v>
      </c>
      <c r="C50" s="11" t="s">
        <v>377</v>
      </c>
      <c r="D50" s="11" t="s">
        <v>378</v>
      </c>
      <c r="E50" s="11" t="s">
        <v>379</v>
      </c>
      <c r="F50" s="11" t="s">
        <v>380</v>
      </c>
      <c r="G50" s="11" t="s">
        <v>61</v>
      </c>
      <c r="H50" s="11" t="s">
        <v>202</v>
      </c>
      <c r="I50" s="11" t="s">
        <v>44</v>
      </c>
      <c r="J50" s="11" t="s">
        <v>6</v>
      </c>
      <c r="K50" s="11" t="s">
        <v>381</v>
      </c>
      <c r="L50" s="11" t="s">
        <v>382</v>
      </c>
      <c r="M50" s="11" t="s">
        <v>47</v>
      </c>
      <c r="N50" s="11" t="s">
        <v>48</v>
      </c>
    </row>
    <row r="51" customFormat="false" ht="21.75" hidden="false" customHeight="true" outlineLevel="0" collapsed="false">
      <c r="A51" s="10" t="s">
        <v>383</v>
      </c>
      <c r="B51" s="11" t="s">
        <v>18</v>
      </c>
      <c r="C51" s="11" t="s">
        <v>384</v>
      </c>
      <c r="D51" s="11" t="s">
        <v>385</v>
      </c>
      <c r="E51" s="11" t="s">
        <v>386</v>
      </c>
      <c r="F51" s="11" t="s">
        <v>387</v>
      </c>
      <c r="G51" s="11" t="s">
        <v>42</v>
      </c>
      <c r="H51" s="11" t="s">
        <v>202</v>
      </c>
      <c r="I51" s="11" t="s">
        <v>44</v>
      </c>
      <c r="J51" s="11" t="s">
        <v>5</v>
      </c>
      <c r="K51" s="11" t="s">
        <v>388</v>
      </c>
      <c r="L51" s="11" t="s">
        <v>389</v>
      </c>
      <c r="M51" s="11" t="s">
        <v>47</v>
      </c>
      <c r="N51" s="11" t="s">
        <v>48</v>
      </c>
    </row>
    <row r="52" customFormat="false" ht="21.75" hidden="false" customHeight="true" outlineLevel="0" collapsed="false">
      <c r="A52" s="10" t="s">
        <v>390</v>
      </c>
      <c r="B52" s="11" t="s">
        <v>18</v>
      </c>
      <c r="C52" s="11" t="s">
        <v>391</v>
      </c>
      <c r="D52" s="11" t="s">
        <v>392</v>
      </c>
      <c r="E52" s="11" t="s">
        <v>393</v>
      </c>
      <c r="F52" s="11" t="s">
        <v>394</v>
      </c>
      <c r="G52" s="11" t="s">
        <v>42</v>
      </c>
      <c r="H52" s="11" t="s">
        <v>202</v>
      </c>
      <c r="I52" s="11" t="s">
        <v>44</v>
      </c>
      <c r="J52" s="11" t="s">
        <v>5</v>
      </c>
      <c r="K52" s="11" t="s">
        <v>395</v>
      </c>
      <c r="L52" s="11" t="s">
        <v>396</v>
      </c>
      <c r="M52" s="11" t="s">
        <v>47</v>
      </c>
      <c r="N52" s="11" t="s">
        <v>48</v>
      </c>
    </row>
    <row r="53" customFormat="false" ht="21.75" hidden="false" customHeight="true" outlineLevel="0" collapsed="false">
      <c r="A53" s="10" t="s">
        <v>397</v>
      </c>
      <c r="B53" s="11" t="s">
        <v>18</v>
      </c>
      <c r="C53" s="11" t="s">
        <v>398</v>
      </c>
      <c r="D53" s="11" t="s">
        <v>152</v>
      </c>
      <c r="E53" s="11" t="s">
        <v>399</v>
      </c>
      <c r="F53" s="11" t="s">
        <v>400</v>
      </c>
      <c r="G53" s="11" t="s">
        <v>61</v>
      </c>
      <c r="H53" s="11" t="s">
        <v>202</v>
      </c>
      <c r="I53" s="11" t="s">
        <v>63</v>
      </c>
      <c r="J53" s="11" t="s">
        <v>5</v>
      </c>
      <c r="K53" s="11" t="s">
        <v>401</v>
      </c>
      <c r="L53" s="11" t="s">
        <v>402</v>
      </c>
      <c r="M53" s="11" t="s">
        <v>47</v>
      </c>
      <c r="N53" s="11" t="s">
        <v>48</v>
      </c>
    </row>
    <row r="54" customFormat="false" ht="32.25" hidden="false" customHeight="true" outlineLevel="0" collapsed="false">
      <c r="A54" s="10" t="s">
        <v>403</v>
      </c>
      <c r="B54" s="11" t="s">
        <v>18</v>
      </c>
      <c r="C54" s="11" t="s">
        <v>404</v>
      </c>
      <c r="D54" s="11" t="s">
        <v>405</v>
      </c>
      <c r="E54" s="11" t="s">
        <v>406</v>
      </c>
      <c r="F54" s="11" t="s">
        <v>407</v>
      </c>
      <c r="G54" s="11" t="s">
        <v>61</v>
      </c>
      <c r="H54" s="11" t="s">
        <v>202</v>
      </c>
      <c r="I54" s="11" t="s">
        <v>44</v>
      </c>
      <c r="J54" s="11" t="s">
        <v>5</v>
      </c>
      <c r="K54" s="11" t="s">
        <v>408</v>
      </c>
      <c r="L54" s="11" t="s">
        <v>409</v>
      </c>
      <c r="M54" s="11" t="s">
        <v>47</v>
      </c>
      <c r="N54" s="11" t="s">
        <v>48</v>
      </c>
    </row>
    <row r="55" customFormat="false" ht="32.25" hidden="false" customHeight="true" outlineLevel="0" collapsed="false">
      <c r="A55" s="10" t="s">
        <v>410</v>
      </c>
      <c r="B55" s="11" t="s">
        <v>18</v>
      </c>
      <c r="C55" s="11" t="s">
        <v>411</v>
      </c>
      <c r="D55" s="11" t="s">
        <v>412</v>
      </c>
      <c r="E55" s="11" t="s">
        <v>413</v>
      </c>
      <c r="F55" s="11" t="s">
        <v>414</v>
      </c>
      <c r="G55" s="11" t="s">
        <v>42</v>
      </c>
      <c r="H55" s="11" t="s">
        <v>202</v>
      </c>
      <c r="I55" s="11" t="s">
        <v>44</v>
      </c>
      <c r="J55" s="11" t="s">
        <v>6</v>
      </c>
      <c r="K55" s="11" t="s">
        <v>415</v>
      </c>
      <c r="L55" s="11" t="s">
        <v>416</v>
      </c>
      <c r="M55" s="11" t="s">
        <v>47</v>
      </c>
      <c r="N55" s="11" t="s">
        <v>48</v>
      </c>
    </row>
    <row r="56" customFormat="false" ht="21.75" hidden="false" customHeight="true" outlineLevel="0" collapsed="false">
      <c r="A56" s="10" t="s">
        <v>417</v>
      </c>
      <c r="B56" s="11" t="s">
        <v>19</v>
      </c>
      <c r="C56" s="11" t="s">
        <v>418</v>
      </c>
      <c r="D56" s="11" t="s">
        <v>419</v>
      </c>
      <c r="E56" s="11" t="s">
        <v>420</v>
      </c>
      <c r="F56" s="11" t="s">
        <v>421</v>
      </c>
      <c r="G56" s="11" t="s">
        <v>42</v>
      </c>
      <c r="H56" s="11" t="s">
        <v>202</v>
      </c>
      <c r="I56" s="11" t="s">
        <v>44</v>
      </c>
      <c r="J56" s="11" t="s">
        <v>5</v>
      </c>
      <c r="K56" s="11" t="s">
        <v>422</v>
      </c>
      <c r="L56" s="11" t="s">
        <v>423</v>
      </c>
      <c r="M56" s="11" t="s">
        <v>47</v>
      </c>
      <c r="N56" s="11" t="s">
        <v>48</v>
      </c>
    </row>
    <row r="57" customFormat="false" ht="21.75" hidden="false" customHeight="true" outlineLevel="0" collapsed="false">
      <c r="A57" s="10" t="s">
        <v>424</v>
      </c>
      <c r="B57" s="11" t="s">
        <v>19</v>
      </c>
      <c r="C57" s="11" t="s">
        <v>425</v>
      </c>
      <c r="D57" s="11" t="s">
        <v>426</v>
      </c>
      <c r="E57" s="11" t="s">
        <v>427</v>
      </c>
      <c r="F57" s="11" t="s">
        <v>428</v>
      </c>
      <c r="G57" s="11" t="s">
        <v>61</v>
      </c>
      <c r="H57" s="11" t="s">
        <v>202</v>
      </c>
      <c r="I57" s="11" t="s">
        <v>44</v>
      </c>
      <c r="J57" s="11" t="s">
        <v>5</v>
      </c>
      <c r="K57" s="11" t="s">
        <v>429</v>
      </c>
      <c r="L57" s="11" t="s">
        <v>430</v>
      </c>
      <c r="M57" s="11" t="s">
        <v>47</v>
      </c>
      <c r="N57" s="11" t="s">
        <v>48</v>
      </c>
    </row>
    <row r="58" customFormat="false" ht="21.75" hidden="false" customHeight="true" outlineLevel="0" collapsed="false">
      <c r="A58" s="10" t="s">
        <v>431</v>
      </c>
      <c r="B58" s="11" t="s">
        <v>19</v>
      </c>
      <c r="C58" s="11" t="s">
        <v>432</v>
      </c>
      <c r="D58" s="11" t="s">
        <v>433</v>
      </c>
      <c r="E58" s="11" t="s">
        <v>434</v>
      </c>
      <c r="F58" s="11" t="s">
        <v>435</v>
      </c>
      <c r="G58" s="11" t="s">
        <v>61</v>
      </c>
      <c r="H58" s="11" t="s">
        <v>202</v>
      </c>
      <c r="I58" s="11" t="s">
        <v>44</v>
      </c>
      <c r="J58" s="11" t="s">
        <v>5</v>
      </c>
      <c r="K58" s="11" t="s">
        <v>436</v>
      </c>
      <c r="L58" s="11" t="s">
        <v>437</v>
      </c>
      <c r="M58" s="11" t="s">
        <v>47</v>
      </c>
      <c r="N58" s="11" t="s">
        <v>48</v>
      </c>
    </row>
    <row r="59" customFormat="false" ht="21.75" hidden="false" customHeight="true" outlineLevel="0" collapsed="false">
      <c r="A59" s="10" t="s">
        <v>438</v>
      </c>
      <c r="B59" s="11" t="s">
        <v>19</v>
      </c>
      <c r="C59" s="11" t="s">
        <v>439</v>
      </c>
      <c r="D59" s="11" t="s">
        <v>440</v>
      </c>
      <c r="E59" s="11" t="s">
        <v>441</v>
      </c>
      <c r="F59" s="11" t="s">
        <v>442</v>
      </c>
      <c r="G59" s="11" t="s">
        <v>61</v>
      </c>
      <c r="H59" s="11" t="s">
        <v>202</v>
      </c>
      <c r="I59" s="11" t="s">
        <v>44</v>
      </c>
      <c r="J59" s="11" t="s">
        <v>6</v>
      </c>
      <c r="K59" s="11" t="s">
        <v>443</v>
      </c>
      <c r="L59" s="11" t="s">
        <v>444</v>
      </c>
      <c r="M59" s="11" t="s">
        <v>47</v>
      </c>
      <c r="N59" s="11" t="s">
        <v>48</v>
      </c>
    </row>
    <row r="60" customFormat="false" ht="21.75" hidden="false" customHeight="true" outlineLevel="0" collapsed="false">
      <c r="A60" s="10" t="s">
        <v>445</v>
      </c>
      <c r="B60" s="11" t="s">
        <v>19</v>
      </c>
      <c r="C60" s="11" t="s">
        <v>446</v>
      </c>
      <c r="D60" s="11" t="s">
        <v>447</v>
      </c>
      <c r="E60" s="11" t="s">
        <v>257</v>
      </c>
      <c r="F60" s="11" t="s">
        <v>448</v>
      </c>
      <c r="G60" s="11" t="s">
        <v>61</v>
      </c>
      <c r="H60" s="11" t="s">
        <v>202</v>
      </c>
      <c r="I60" s="11" t="s">
        <v>44</v>
      </c>
      <c r="J60" s="11" t="s">
        <v>5</v>
      </c>
      <c r="K60" s="11" t="s">
        <v>449</v>
      </c>
      <c r="L60" s="11" t="s">
        <v>450</v>
      </c>
      <c r="M60" s="11" t="s">
        <v>47</v>
      </c>
      <c r="N60" s="11" t="s">
        <v>48</v>
      </c>
    </row>
    <row r="61" customFormat="false" ht="21.75" hidden="false" customHeight="true" outlineLevel="0" collapsed="false">
      <c r="A61" s="10" t="s">
        <v>451</v>
      </c>
      <c r="B61" s="11" t="s">
        <v>19</v>
      </c>
      <c r="C61" s="11" t="s">
        <v>452</v>
      </c>
      <c r="D61" s="11" t="s">
        <v>453</v>
      </c>
      <c r="E61" s="11" t="s">
        <v>454</v>
      </c>
      <c r="F61" s="11" t="s">
        <v>455</v>
      </c>
      <c r="G61" s="11" t="s">
        <v>42</v>
      </c>
      <c r="H61" s="11" t="s">
        <v>202</v>
      </c>
      <c r="I61" s="11" t="s">
        <v>44</v>
      </c>
      <c r="J61" s="11" t="s">
        <v>5</v>
      </c>
      <c r="K61" s="11" t="s">
        <v>456</v>
      </c>
      <c r="L61" s="11" t="s">
        <v>457</v>
      </c>
      <c r="M61" s="11" t="s">
        <v>47</v>
      </c>
      <c r="N61" s="11" t="s">
        <v>48</v>
      </c>
    </row>
    <row r="62" customFormat="false" ht="32.25" hidden="false" customHeight="true" outlineLevel="0" collapsed="false">
      <c r="A62" s="10" t="s">
        <v>458</v>
      </c>
      <c r="B62" s="11" t="s">
        <v>19</v>
      </c>
      <c r="C62" s="11" t="s">
        <v>459</v>
      </c>
      <c r="D62" s="11" t="s">
        <v>460</v>
      </c>
      <c r="E62" s="11" t="s">
        <v>461</v>
      </c>
      <c r="F62" s="11" t="s">
        <v>462</v>
      </c>
      <c r="G62" s="11" t="s">
        <v>61</v>
      </c>
      <c r="H62" s="11" t="s">
        <v>202</v>
      </c>
      <c r="I62" s="11" t="s">
        <v>44</v>
      </c>
      <c r="J62" s="11" t="s">
        <v>5</v>
      </c>
      <c r="K62" s="11" t="s">
        <v>463</v>
      </c>
      <c r="L62" s="11" t="s">
        <v>464</v>
      </c>
      <c r="M62" s="11" t="s">
        <v>47</v>
      </c>
      <c r="N62" s="11" t="s">
        <v>48</v>
      </c>
    </row>
    <row r="63" customFormat="false" ht="32.25" hidden="false" customHeight="true" outlineLevel="0" collapsed="false">
      <c r="A63" s="10" t="s">
        <v>465</v>
      </c>
      <c r="B63" s="11" t="s">
        <v>19</v>
      </c>
      <c r="C63" s="11" t="s">
        <v>466</v>
      </c>
      <c r="D63" s="11" t="s">
        <v>453</v>
      </c>
      <c r="E63" s="11" t="s">
        <v>467</v>
      </c>
      <c r="F63" s="11" t="s">
        <v>468</v>
      </c>
      <c r="G63" s="11" t="s">
        <v>61</v>
      </c>
      <c r="H63" s="11" t="s">
        <v>202</v>
      </c>
      <c r="I63" s="11" t="s">
        <v>44</v>
      </c>
      <c r="J63" s="11" t="s">
        <v>6</v>
      </c>
      <c r="K63" s="11" t="s">
        <v>469</v>
      </c>
      <c r="L63" s="11" t="s">
        <v>470</v>
      </c>
      <c r="M63" s="11" t="s">
        <v>47</v>
      </c>
      <c r="N63" s="11" t="s">
        <v>48</v>
      </c>
    </row>
    <row r="64" customFormat="false" ht="21.75" hidden="false" customHeight="true" outlineLevel="0" collapsed="false">
      <c r="A64" s="10" t="s">
        <v>471</v>
      </c>
      <c r="B64" s="11" t="s">
        <v>19</v>
      </c>
      <c r="C64" s="11" t="s">
        <v>472</v>
      </c>
      <c r="D64" s="11" t="s">
        <v>473</v>
      </c>
      <c r="E64" s="11" t="s">
        <v>474</v>
      </c>
      <c r="F64" s="11" t="s">
        <v>475</v>
      </c>
      <c r="G64" s="11" t="s">
        <v>42</v>
      </c>
      <c r="H64" s="11" t="s">
        <v>202</v>
      </c>
      <c r="I64" s="11" t="s">
        <v>44</v>
      </c>
      <c r="J64" s="11" t="s">
        <v>5</v>
      </c>
      <c r="K64" s="11" t="s">
        <v>476</v>
      </c>
      <c r="L64" s="11" t="s">
        <v>477</v>
      </c>
      <c r="M64" s="11" t="s">
        <v>47</v>
      </c>
      <c r="N64" s="11" t="s">
        <v>48</v>
      </c>
    </row>
    <row r="65" customFormat="false" ht="21.75" hidden="false" customHeight="true" outlineLevel="0" collapsed="false">
      <c r="A65" s="10" t="s">
        <v>478</v>
      </c>
      <c r="B65" s="11" t="s">
        <v>19</v>
      </c>
      <c r="C65" s="11" t="s">
        <v>479</v>
      </c>
      <c r="D65" s="11" t="s">
        <v>480</v>
      </c>
      <c r="E65" s="11" t="s">
        <v>481</v>
      </c>
      <c r="F65" s="11" t="s">
        <v>482</v>
      </c>
      <c r="G65" s="11" t="s">
        <v>42</v>
      </c>
      <c r="H65" s="11" t="s">
        <v>202</v>
      </c>
      <c r="I65" s="11" t="s">
        <v>63</v>
      </c>
      <c r="J65" s="11" t="s">
        <v>5</v>
      </c>
      <c r="K65" s="11" t="s">
        <v>483</v>
      </c>
      <c r="L65" s="11" t="s">
        <v>484</v>
      </c>
      <c r="M65" s="11" t="s">
        <v>47</v>
      </c>
      <c r="N65" s="11" t="s">
        <v>48</v>
      </c>
    </row>
    <row r="66" customFormat="false" ht="21.75" hidden="false" customHeight="true" outlineLevel="0" collapsed="false">
      <c r="A66" s="10" t="s">
        <v>485</v>
      </c>
      <c r="B66" s="11" t="s">
        <v>19</v>
      </c>
      <c r="C66" s="11" t="s">
        <v>486</v>
      </c>
      <c r="D66" s="11" t="s">
        <v>487</v>
      </c>
      <c r="E66" s="11" t="s">
        <v>488</v>
      </c>
      <c r="F66" s="11" t="s">
        <v>489</v>
      </c>
      <c r="G66" s="11" t="s">
        <v>42</v>
      </c>
      <c r="H66" s="11" t="s">
        <v>202</v>
      </c>
      <c r="I66" s="11" t="s">
        <v>44</v>
      </c>
      <c r="J66" s="11" t="s">
        <v>5</v>
      </c>
      <c r="K66" s="11" t="s">
        <v>490</v>
      </c>
      <c r="L66" s="11" t="s">
        <v>491</v>
      </c>
      <c r="M66" s="11" t="s">
        <v>47</v>
      </c>
      <c r="N66" s="11" t="s">
        <v>48</v>
      </c>
    </row>
    <row r="67" customFormat="false" ht="21.75" hidden="false" customHeight="true" outlineLevel="0" collapsed="false">
      <c r="A67" s="10" t="s">
        <v>492</v>
      </c>
      <c r="B67" s="11" t="s">
        <v>19</v>
      </c>
      <c r="C67" s="11" t="s">
        <v>493</v>
      </c>
      <c r="D67" s="11" t="s">
        <v>494</v>
      </c>
      <c r="E67" s="11" t="s">
        <v>495</v>
      </c>
      <c r="F67" s="11" t="s">
        <v>496</v>
      </c>
      <c r="G67" s="11" t="s">
        <v>61</v>
      </c>
      <c r="H67" s="11" t="s">
        <v>202</v>
      </c>
      <c r="I67" s="11" t="s">
        <v>63</v>
      </c>
      <c r="J67" s="11" t="s">
        <v>5</v>
      </c>
      <c r="K67" s="11" t="s">
        <v>497</v>
      </c>
      <c r="L67" s="11" t="s">
        <v>498</v>
      </c>
      <c r="M67" s="11" t="s">
        <v>47</v>
      </c>
      <c r="N67" s="11" t="s">
        <v>48</v>
      </c>
    </row>
    <row r="68" customFormat="false" ht="21.75" hidden="false" customHeight="true" outlineLevel="0" collapsed="false">
      <c r="A68" s="10" t="s">
        <v>499</v>
      </c>
      <c r="B68" s="11" t="s">
        <v>19</v>
      </c>
      <c r="C68" s="11" t="s">
        <v>500</v>
      </c>
      <c r="D68" s="11" t="s">
        <v>501</v>
      </c>
      <c r="E68" s="11" t="s">
        <v>502</v>
      </c>
      <c r="F68" s="11" t="s">
        <v>503</v>
      </c>
      <c r="G68" s="11" t="s">
        <v>99</v>
      </c>
      <c r="H68" s="11" t="s">
        <v>202</v>
      </c>
      <c r="I68" s="11" t="s">
        <v>44</v>
      </c>
      <c r="J68" s="11" t="s">
        <v>5</v>
      </c>
      <c r="K68" s="11" t="s">
        <v>504</v>
      </c>
      <c r="L68" s="11"/>
      <c r="M68" s="11" t="s">
        <v>47</v>
      </c>
      <c r="N68" s="11" t="s">
        <v>48</v>
      </c>
    </row>
    <row r="69" customFormat="false" ht="42.75" hidden="false" customHeight="true" outlineLevel="0" collapsed="false">
      <c r="A69" s="10" t="s">
        <v>505</v>
      </c>
      <c r="B69" s="11" t="s">
        <v>19</v>
      </c>
      <c r="C69" s="11" t="s">
        <v>506</v>
      </c>
      <c r="D69" s="11" t="s">
        <v>507</v>
      </c>
      <c r="E69" s="11" t="s">
        <v>508</v>
      </c>
      <c r="F69" s="11" t="s">
        <v>509</v>
      </c>
      <c r="G69" s="11" t="s">
        <v>99</v>
      </c>
      <c r="H69" s="11" t="s">
        <v>202</v>
      </c>
      <c r="I69" s="11" t="s">
        <v>44</v>
      </c>
      <c r="J69" s="11" t="s">
        <v>6</v>
      </c>
      <c r="K69" s="11" t="s">
        <v>510</v>
      </c>
      <c r="L69" s="11" t="s">
        <v>457</v>
      </c>
      <c r="M69" s="11" t="s">
        <v>47</v>
      </c>
      <c r="N69" s="11" t="s">
        <v>48</v>
      </c>
    </row>
    <row r="70" customFormat="false" ht="42.75" hidden="false" customHeight="true" outlineLevel="0" collapsed="false">
      <c r="A70" s="10" t="s">
        <v>511</v>
      </c>
      <c r="B70" s="11" t="s">
        <v>19</v>
      </c>
      <c r="C70" s="11" t="s">
        <v>512</v>
      </c>
      <c r="D70" s="11" t="s">
        <v>513</v>
      </c>
      <c r="E70" s="11" t="s">
        <v>514</v>
      </c>
      <c r="F70" s="11" t="s">
        <v>515</v>
      </c>
      <c r="G70" s="11" t="s">
        <v>42</v>
      </c>
      <c r="H70" s="11" t="s">
        <v>202</v>
      </c>
      <c r="I70" s="11" t="s">
        <v>44</v>
      </c>
      <c r="J70" s="11" t="s">
        <v>5</v>
      </c>
      <c r="K70" s="11" t="s">
        <v>516</v>
      </c>
      <c r="L70" s="11"/>
      <c r="M70" s="11" t="s">
        <v>47</v>
      </c>
      <c r="N70" s="11" t="s">
        <v>48</v>
      </c>
    </row>
    <row r="71" customFormat="false" ht="21.75" hidden="false" customHeight="true" outlineLevel="0" collapsed="false">
      <c r="A71" s="10" t="s">
        <v>517</v>
      </c>
      <c r="B71" s="11" t="s">
        <v>20</v>
      </c>
      <c r="C71" s="11" t="s">
        <v>518</v>
      </c>
      <c r="D71" s="11" t="s">
        <v>199</v>
      </c>
      <c r="E71" s="11" t="s">
        <v>519</v>
      </c>
      <c r="F71" s="11" t="s">
        <v>520</v>
      </c>
      <c r="G71" s="11" t="s">
        <v>61</v>
      </c>
      <c r="H71" s="11" t="s">
        <v>202</v>
      </c>
      <c r="I71" s="11" t="s">
        <v>44</v>
      </c>
      <c r="J71" s="11" t="s">
        <v>5</v>
      </c>
      <c r="K71" s="11" t="s">
        <v>521</v>
      </c>
      <c r="L71" s="11" t="s">
        <v>522</v>
      </c>
      <c r="M71" s="11" t="s">
        <v>47</v>
      </c>
      <c r="N71" s="11" t="s">
        <v>48</v>
      </c>
    </row>
    <row r="72" customFormat="false" ht="32.25" hidden="false" customHeight="true" outlineLevel="0" collapsed="false">
      <c r="A72" s="10" t="s">
        <v>523</v>
      </c>
      <c r="B72" s="11" t="s">
        <v>20</v>
      </c>
      <c r="C72" s="11" t="s">
        <v>213</v>
      </c>
      <c r="D72" s="11" t="s">
        <v>524</v>
      </c>
      <c r="E72" s="11" t="s">
        <v>525</v>
      </c>
      <c r="F72" s="11" t="s">
        <v>526</v>
      </c>
      <c r="G72" s="11" t="s">
        <v>61</v>
      </c>
      <c r="H72" s="11" t="s">
        <v>202</v>
      </c>
      <c r="I72" s="11" t="s">
        <v>44</v>
      </c>
      <c r="J72" s="11" t="s">
        <v>5</v>
      </c>
      <c r="K72" s="11" t="s">
        <v>527</v>
      </c>
      <c r="L72" s="11" t="s">
        <v>528</v>
      </c>
      <c r="M72" s="11" t="s">
        <v>47</v>
      </c>
      <c r="N72" s="11" t="s">
        <v>48</v>
      </c>
    </row>
    <row r="73" customFormat="false" ht="21.75" hidden="false" customHeight="true" outlineLevel="0" collapsed="false">
      <c r="A73" s="10" t="s">
        <v>529</v>
      </c>
      <c r="B73" s="11" t="s">
        <v>20</v>
      </c>
      <c r="C73" s="11" t="s">
        <v>530</v>
      </c>
      <c r="D73" s="11" t="s">
        <v>531</v>
      </c>
      <c r="E73" s="11" t="s">
        <v>532</v>
      </c>
      <c r="F73" s="11" t="s">
        <v>533</v>
      </c>
      <c r="G73" s="11" t="s">
        <v>61</v>
      </c>
      <c r="H73" s="11" t="s">
        <v>202</v>
      </c>
      <c r="I73" s="11" t="s">
        <v>44</v>
      </c>
      <c r="J73" s="11" t="s">
        <v>5</v>
      </c>
      <c r="K73" s="11" t="s">
        <v>534</v>
      </c>
      <c r="L73" s="11" t="s">
        <v>535</v>
      </c>
      <c r="M73" s="11" t="s">
        <v>47</v>
      </c>
      <c r="N73" s="11" t="s">
        <v>48</v>
      </c>
    </row>
    <row r="74" customFormat="false" ht="21.75" hidden="false" customHeight="true" outlineLevel="0" collapsed="false">
      <c r="A74" s="10" t="s">
        <v>536</v>
      </c>
      <c r="B74" s="11" t="s">
        <v>20</v>
      </c>
      <c r="C74" s="11" t="s">
        <v>537</v>
      </c>
      <c r="D74" s="11" t="s">
        <v>524</v>
      </c>
      <c r="E74" s="11" t="s">
        <v>538</v>
      </c>
      <c r="F74" s="11" t="s">
        <v>539</v>
      </c>
      <c r="G74" s="11" t="s">
        <v>61</v>
      </c>
      <c r="H74" s="11" t="s">
        <v>202</v>
      </c>
      <c r="I74" s="11" t="s">
        <v>44</v>
      </c>
      <c r="J74" s="11" t="s">
        <v>5</v>
      </c>
      <c r="K74" s="11" t="s">
        <v>540</v>
      </c>
      <c r="L74" s="11" t="s">
        <v>541</v>
      </c>
      <c r="M74" s="11" t="s">
        <v>47</v>
      </c>
      <c r="N74" s="11" t="s">
        <v>48</v>
      </c>
    </row>
    <row r="75" customFormat="false" ht="32.25" hidden="false" customHeight="true" outlineLevel="0" collapsed="false">
      <c r="A75" s="10" t="s">
        <v>542</v>
      </c>
      <c r="B75" s="11" t="s">
        <v>20</v>
      </c>
      <c r="C75" s="11" t="s">
        <v>543</v>
      </c>
      <c r="D75" s="11" t="s">
        <v>544</v>
      </c>
      <c r="E75" s="11" t="s">
        <v>545</v>
      </c>
      <c r="F75" s="11" t="s">
        <v>546</v>
      </c>
      <c r="G75" s="11" t="s">
        <v>61</v>
      </c>
      <c r="H75" s="11" t="s">
        <v>202</v>
      </c>
      <c r="I75" s="11" t="s">
        <v>44</v>
      </c>
      <c r="J75" s="11" t="s">
        <v>6</v>
      </c>
      <c r="K75" s="11" t="s">
        <v>547</v>
      </c>
      <c r="L75" s="11" t="s">
        <v>548</v>
      </c>
      <c r="M75" s="11" t="s">
        <v>47</v>
      </c>
      <c r="N75" s="11" t="s">
        <v>48</v>
      </c>
    </row>
    <row r="76" customFormat="false" ht="21.75" hidden="false" customHeight="true" outlineLevel="0" collapsed="false">
      <c r="A76" s="10" t="s">
        <v>549</v>
      </c>
      <c r="B76" s="11" t="s">
        <v>20</v>
      </c>
      <c r="C76" s="11" t="s">
        <v>550</v>
      </c>
      <c r="D76" s="11" t="s">
        <v>551</v>
      </c>
      <c r="E76" s="11" t="s">
        <v>552</v>
      </c>
      <c r="F76" s="11" t="s">
        <v>553</v>
      </c>
      <c r="G76" s="11" t="s">
        <v>42</v>
      </c>
      <c r="H76" s="11" t="s">
        <v>202</v>
      </c>
      <c r="I76" s="11" t="s">
        <v>44</v>
      </c>
      <c r="J76" s="11" t="s">
        <v>5</v>
      </c>
      <c r="K76" s="11" t="s">
        <v>554</v>
      </c>
      <c r="L76" s="11"/>
      <c r="M76" s="11" t="s">
        <v>47</v>
      </c>
      <c r="N76" s="11" t="s">
        <v>48</v>
      </c>
    </row>
    <row r="77" customFormat="false" ht="32.25" hidden="false" customHeight="true" outlineLevel="0" collapsed="false">
      <c r="A77" s="10" t="s">
        <v>555</v>
      </c>
      <c r="B77" s="11" t="s">
        <v>20</v>
      </c>
      <c r="C77" s="11" t="s">
        <v>556</v>
      </c>
      <c r="D77" s="11" t="s">
        <v>557</v>
      </c>
      <c r="E77" s="11" t="s">
        <v>558</v>
      </c>
      <c r="F77" s="11" t="s">
        <v>559</v>
      </c>
      <c r="G77" s="11" t="s">
        <v>99</v>
      </c>
      <c r="H77" s="11" t="s">
        <v>202</v>
      </c>
      <c r="I77" s="11" t="s">
        <v>44</v>
      </c>
      <c r="J77" s="11" t="s">
        <v>5</v>
      </c>
      <c r="K77" s="11" t="s">
        <v>560</v>
      </c>
      <c r="L77" s="11" t="s">
        <v>561</v>
      </c>
      <c r="M77" s="11" t="s">
        <v>47</v>
      </c>
      <c r="N77" s="11" t="s">
        <v>48</v>
      </c>
    </row>
    <row r="78" customFormat="false" ht="21.75" hidden="false" customHeight="true" outlineLevel="0" collapsed="false">
      <c r="A78" s="10" t="s">
        <v>562</v>
      </c>
      <c r="B78" s="11" t="s">
        <v>20</v>
      </c>
      <c r="C78" s="11" t="s">
        <v>563</v>
      </c>
      <c r="D78" s="11" t="s">
        <v>564</v>
      </c>
      <c r="E78" s="11" t="s">
        <v>565</v>
      </c>
      <c r="F78" s="11" t="s">
        <v>566</v>
      </c>
      <c r="G78" s="11" t="s">
        <v>99</v>
      </c>
      <c r="H78" s="11" t="s">
        <v>202</v>
      </c>
      <c r="I78" s="11" t="s">
        <v>44</v>
      </c>
      <c r="J78" s="11" t="s">
        <v>5</v>
      </c>
      <c r="K78" s="11" t="s">
        <v>567</v>
      </c>
      <c r="L78" s="11" t="s">
        <v>568</v>
      </c>
      <c r="M78" s="11" t="s">
        <v>47</v>
      </c>
      <c r="N78" s="11" t="s">
        <v>48</v>
      </c>
    </row>
    <row r="79" customFormat="false" ht="21.75" hidden="false" customHeight="true" outlineLevel="0" collapsed="false">
      <c r="A79" s="10" t="s">
        <v>569</v>
      </c>
      <c r="B79" s="11" t="s">
        <v>21</v>
      </c>
      <c r="C79" s="11" t="s">
        <v>570</v>
      </c>
      <c r="D79" s="11" t="s">
        <v>571</v>
      </c>
      <c r="E79" s="11" t="s">
        <v>572</v>
      </c>
      <c r="F79" s="11" t="s">
        <v>573</v>
      </c>
      <c r="G79" s="11" t="s">
        <v>61</v>
      </c>
      <c r="H79" s="11" t="s">
        <v>43</v>
      </c>
      <c r="I79" s="11" t="s">
        <v>44</v>
      </c>
      <c r="J79" s="11" t="s">
        <v>5</v>
      </c>
      <c r="K79" s="11" t="s">
        <v>574</v>
      </c>
      <c r="L79" s="11" t="s">
        <v>575</v>
      </c>
      <c r="M79" s="11" t="s">
        <v>47</v>
      </c>
      <c r="N79" s="11" t="s">
        <v>48</v>
      </c>
    </row>
    <row r="80" customFormat="false" ht="32.25" hidden="false" customHeight="true" outlineLevel="0" collapsed="false">
      <c r="A80" s="10" t="s">
        <v>576</v>
      </c>
      <c r="B80" s="11" t="s">
        <v>21</v>
      </c>
      <c r="C80" s="11" t="s">
        <v>577</v>
      </c>
      <c r="D80" s="11" t="s">
        <v>578</v>
      </c>
      <c r="E80" s="11" t="s">
        <v>579</v>
      </c>
      <c r="F80" s="11" t="s">
        <v>580</v>
      </c>
      <c r="G80" s="11" t="s">
        <v>42</v>
      </c>
      <c r="H80" s="11" t="s">
        <v>43</v>
      </c>
      <c r="I80" s="11" t="s">
        <v>63</v>
      </c>
      <c r="J80" s="11" t="s">
        <v>5</v>
      </c>
      <c r="K80" s="11" t="s">
        <v>581</v>
      </c>
      <c r="L80" s="11" t="s">
        <v>582</v>
      </c>
      <c r="M80" s="11" t="s">
        <v>47</v>
      </c>
      <c r="N80" s="11" t="s">
        <v>48</v>
      </c>
    </row>
    <row r="81" customFormat="false" ht="21.75" hidden="false" customHeight="true" outlineLevel="0" collapsed="false">
      <c r="A81" s="10" t="s">
        <v>583</v>
      </c>
      <c r="B81" s="11" t="s">
        <v>21</v>
      </c>
      <c r="C81" s="11" t="s">
        <v>584</v>
      </c>
      <c r="D81" s="11" t="s">
        <v>585</v>
      </c>
      <c r="E81" s="11" t="s">
        <v>586</v>
      </c>
      <c r="F81" s="11" t="s">
        <v>587</v>
      </c>
      <c r="G81" s="11" t="s">
        <v>42</v>
      </c>
      <c r="H81" s="11" t="s">
        <v>43</v>
      </c>
      <c r="I81" s="11" t="s">
        <v>63</v>
      </c>
      <c r="J81" s="11" t="s">
        <v>5</v>
      </c>
      <c r="K81" s="11" t="s">
        <v>588</v>
      </c>
      <c r="L81" s="11" t="s">
        <v>589</v>
      </c>
      <c r="M81" s="11" t="s">
        <v>47</v>
      </c>
      <c r="N81" s="11" t="s">
        <v>48</v>
      </c>
    </row>
    <row r="82" customFormat="false" ht="21.75" hidden="false" customHeight="true" outlineLevel="0" collapsed="false">
      <c r="A82" s="10" t="s">
        <v>590</v>
      </c>
      <c r="B82" s="11" t="s">
        <v>21</v>
      </c>
      <c r="C82" s="11" t="s">
        <v>151</v>
      </c>
      <c r="D82" s="11" t="s">
        <v>591</v>
      </c>
      <c r="E82" s="11" t="s">
        <v>592</v>
      </c>
      <c r="F82" s="11" t="s">
        <v>593</v>
      </c>
      <c r="G82" s="11" t="s">
        <v>61</v>
      </c>
      <c r="H82" s="11" t="s">
        <v>43</v>
      </c>
      <c r="I82" s="11" t="s">
        <v>44</v>
      </c>
      <c r="J82" s="11" t="s">
        <v>5</v>
      </c>
      <c r="K82" s="11" t="s">
        <v>594</v>
      </c>
      <c r="L82" s="11"/>
      <c r="M82" s="11" t="s">
        <v>47</v>
      </c>
      <c r="N82" s="11" t="s">
        <v>48</v>
      </c>
    </row>
    <row r="83" customFormat="false" ht="21.75" hidden="false" customHeight="true" outlineLevel="0" collapsed="false">
      <c r="A83" s="10" t="s">
        <v>595</v>
      </c>
      <c r="B83" s="11" t="s">
        <v>21</v>
      </c>
      <c r="C83" s="11" t="s">
        <v>596</v>
      </c>
      <c r="D83" s="11" t="s">
        <v>597</v>
      </c>
      <c r="E83" s="11" t="s">
        <v>598</v>
      </c>
      <c r="F83" s="11" t="s">
        <v>599</v>
      </c>
      <c r="G83" s="11" t="s">
        <v>42</v>
      </c>
      <c r="H83" s="11" t="s">
        <v>53</v>
      </c>
      <c r="I83" s="11" t="s">
        <v>63</v>
      </c>
      <c r="J83" s="11" t="s">
        <v>5</v>
      </c>
      <c r="K83" s="11" t="s">
        <v>600</v>
      </c>
      <c r="L83" s="11"/>
      <c r="M83" s="11" t="s">
        <v>47</v>
      </c>
      <c r="N83" s="11" t="s">
        <v>48</v>
      </c>
    </row>
    <row r="84" customFormat="false" ht="32.25" hidden="false" customHeight="true" outlineLevel="0" collapsed="false">
      <c r="A84" s="10" t="s">
        <v>601</v>
      </c>
      <c r="B84" s="11" t="s">
        <v>21</v>
      </c>
      <c r="C84" s="11" t="s">
        <v>602</v>
      </c>
      <c r="D84" s="11" t="s">
        <v>178</v>
      </c>
      <c r="E84" s="11" t="s">
        <v>603</v>
      </c>
      <c r="F84" s="11" t="s">
        <v>604</v>
      </c>
      <c r="G84" s="11" t="s">
        <v>61</v>
      </c>
      <c r="H84" s="11" t="s">
        <v>53</v>
      </c>
      <c r="I84" s="11" t="s">
        <v>44</v>
      </c>
      <c r="J84" s="11" t="s">
        <v>5</v>
      </c>
      <c r="K84" s="11" t="s">
        <v>605</v>
      </c>
      <c r="L84" s="11" t="s">
        <v>606</v>
      </c>
      <c r="M84" s="11" t="s">
        <v>47</v>
      </c>
      <c r="N84" s="11" t="s">
        <v>48</v>
      </c>
    </row>
    <row r="85" customFormat="false" ht="32.25" hidden="false" customHeight="true" outlineLevel="0" collapsed="false">
      <c r="A85" s="10" t="s">
        <v>607</v>
      </c>
      <c r="B85" s="11" t="s">
        <v>21</v>
      </c>
      <c r="C85" s="11" t="s">
        <v>608</v>
      </c>
      <c r="D85" s="11" t="s">
        <v>178</v>
      </c>
      <c r="E85" s="11" t="s">
        <v>609</v>
      </c>
      <c r="F85" s="11" t="s">
        <v>610</v>
      </c>
      <c r="G85" s="11" t="s">
        <v>42</v>
      </c>
      <c r="H85" s="11" t="s">
        <v>53</v>
      </c>
      <c r="I85" s="11" t="s">
        <v>63</v>
      </c>
      <c r="J85" s="11" t="s">
        <v>5</v>
      </c>
      <c r="K85" s="11" t="s">
        <v>611</v>
      </c>
      <c r="L85" s="11" t="s">
        <v>612</v>
      </c>
      <c r="M85" s="11" t="s">
        <v>47</v>
      </c>
      <c r="N85" s="11" t="s">
        <v>48</v>
      </c>
    </row>
    <row r="86" customFormat="false" ht="32.25" hidden="false" customHeight="true" outlineLevel="0" collapsed="false">
      <c r="A86" s="10" t="s">
        <v>613</v>
      </c>
      <c r="B86" s="11" t="s">
        <v>21</v>
      </c>
      <c r="C86" s="11" t="s">
        <v>614</v>
      </c>
      <c r="D86" s="11" t="s">
        <v>615</v>
      </c>
      <c r="E86" s="11" t="s">
        <v>616</v>
      </c>
      <c r="F86" s="11" t="s">
        <v>617</v>
      </c>
      <c r="G86" s="11" t="s">
        <v>99</v>
      </c>
      <c r="H86" s="11" t="s">
        <v>43</v>
      </c>
      <c r="I86" s="11" t="s">
        <v>44</v>
      </c>
      <c r="J86" s="11" t="s">
        <v>6</v>
      </c>
      <c r="K86" s="11" t="s">
        <v>618</v>
      </c>
      <c r="L86" s="11" t="s">
        <v>619</v>
      </c>
      <c r="M86" s="11" t="s">
        <v>47</v>
      </c>
      <c r="N86" s="11" t="s">
        <v>48</v>
      </c>
    </row>
    <row r="87" customFormat="false" ht="21.75" hidden="false" customHeight="true" outlineLevel="0" collapsed="false">
      <c r="A87" s="10" t="s">
        <v>620</v>
      </c>
      <c r="B87" s="11" t="s">
        <v>22</v>
      </c>
      <c r="C87" s="11" t="s">
        <v>621</v>
      </c>
      <c r="D87" s="11" t="s">
        <v>199</v>
      </c>
      <c r="E87" s="11" t="s">
        <v>622</v>
      </c>
      <c r="F87" s="11" t="s">
        <v>623</v>
      </c>
      <c r="G87" s="11" t="s">
        <v>61</v>
      </c>
      <c r="H87" s="11" t="s">
        <v>43</v>
      </c>
      <c r="I87" s="11" t="s">
        <v>44</v>
      </c>
      <c r="J87" s="11" t="s">
        <v>5</v>
      </c>
      <c r="K87" s="11" t="s">
        <v>624</v>
      </c>
      <c r="L87" s="11" t="s">
        <v>625</v>
      </c>
      <c r="M87" s="11" t="s">
        <v>47</v>
      </c>
      <c r="N87" s="11" t="s">
        <v>48</v>
      </c>
    </row>
    <row r="88" customFormat="false" ht="21.75" hidden="false" customHeight="true" outlineLevel="0" collapsed="false">
      <c r="A88" s="10" t="s">
        <v>626</v>
      </c>
      <c r="B88" s="11" t="s">
        <v>22</v>
      </c>
      <c r="C88" s="11" t="s">
        <v>627</v>
      </c>
      <c r="D88" s="11" t="s">
        <v>628</v>
      </c>
      <c r="E88" s="11" t="s">
        <v>629</v>
      </c>
      <c r="F88" s="11" t="s">
        <v>630</v>
      </c>
      <c r="G88" s="11" t="s">
        <v>61</v>
      </c>
      <c r="H88" s="11" t="s">
        <v>43</v>
      </c>
      <c r="I88" s="11" t="s">
        <v>44</v>
      </c>
      <c r="J88" s="11" t="s">
        <v>5</v>
      </c>
      <c r="K88" s="11" t="s">
        <v>631</v>
      </c>
      <c r="L88" s="11" t="s">
        <v>632</v>
      </c>
      <c r="M88" s="11" t="s">
        <v>47</v>
      </c>
      <c r="N88" s="11" t="s">
        <v>48</v>
      </c>
    </row>
    <row r="89" customFormat="false" ht="21.75" hidden="false" customHeight="true" outlineLevel="0" collapsed="false">
      <c r="A89" s="10" t="s">
        <v>633</v>
      </c>
      <c r="B89" s="11" t="s">
        <v>22</v>
      </c>
      <c r="C89" s="11" t="s">
        <v>634</v>
      </c>
      <c r="D89" s="11" t="s">
        <v>635</v>
      </c>
      <c r="E89" s="11" t="s">
        <v>636</v>
      </c>
      <c r="F89" s="11" t="s">
        <v>637</v>
      </c>
      <c r="G89" s="11" t="s">
        <v>61</v>
      </c>
      <c r="H89" s="11" t="s">
        <v>43</v>
      </c>
      <c r="I89" s="11" t="s">
        <v>44</v>
      </c>
      <c r="J89" s="11" t="s">
        <v>5</v>
      </c>
      <c r="K89" s="11" t="s">
        <v>638</v>
      </c>
      <c r="L89" s="11" t="s">
        <v>639</v>
      </c>
      <c r="M89" s="11" t="s">
        <v>47</v>
      </c>
      <c r="N89" s="11" t="s">
        <v>48</v>
      </c>
    </row>
    <row r="90" customFormat="false" ht="21.75" hidden="false" customHeight="true" outlineLevel="0" collapsed="false">
      <c r="A90" s="10" t="s">
        <v>640</v>
      </c>
      <c r="B90" s="11" t="s">
        <v>22</v>
      </c>
      <c r="C90" s="11" t="s">
        <v>543</v>
      </c>
      <c r="D90" s="11" t="s">
        <v>641</v>
      </c>
      <c r="E90" s="11" t="s">
        <v>545</v>
      </c>
      <c r="F90" s="11" t="s">
        <v>642</v>
      </c>
      <c r="G90" s="11" t="s">
        <v>61</v>
      </c>
      <c r="H90" s="11" t="s">
        <v>43</v>
      </c>
      <c r="I90" s="11" t="s">
        <v>44</v>
      </c>
      <c r="J90" s="11" t="s">
        <v>5</v>
      </c>
      <c r="K90" s="11" t="s">
        <v>643</v>
      </c>
      <c r="L90" s="11" t="s">
        <v>644</v>
      </c>
      <c r="M90" s="11" t="s">
        <v>47</v>
      </c>
      <c r="N90" s="11" t="s">
        <v>48</v>
      </c>
    </row>
    <row r="91" customFormat="false" ht="32.25" hidden="false" customHeight="true" outlineLevel="0" collapsed="false">
      <c r="A91" s="10" t="s">
        <v>645</v>
      </c>
      <c r="B91" s="11" t="s">
        <v>22</v>
      </c>
      <c r="C91" s="11" t="s">
        <v>646</v>
      </c>
      <c r="D91" s="11" t="s">
        <v>647</v>
      </c>
      <c r="E91" s="11" t="s">
        <v>648</v>
      </c>
      <c r="F91" s="11" t="s">
        <v>649</v>
      </c>
      <c r="G91" s="11" t="s">
        <v>61</v>
      </c>
      <c r="H91" s="11" t="s">
        <v>43</v>
      </c>
      <c r="I91" s="11" t="s">
        <v>44</v>
      </c>
      <c r="J91" s="11" t="s">
        <v>5</v>
      </c>
      <c r="K91" s="11" t="s">
        <v>650</v>
      </c>
      <c r="L91" s="11" t="s">
        <v>651</v>
      </c>
      <c r="M91" s="11" t="s">
        <v>47</v>
      </c>
      <c r="N91" s="11" t="s">
        <v>48</v>
      </c>
    </row>
    <row r="92" customFormat="false" ht="21.75" hidden="false" customHeight="true" outlineLevel="0" collapsed="false">
      <c r="A92" s="10" t="s">
        <v>652</v>
      </c>
      <c r="B92" s="11" t="s">
        <v>22</v>
      </c>
      <c r="C92" s="11" t="s">
        <v>653</v>
      </c>
      <c r="D92" s="11" t="s">
        <v>654</v>
      </c>
      <c r="E92" s="11" t="s">
        <v>525</v>
      </c>
      <c r="F92" s="11" t="s">
        <v>655</v>
      </c>
      <c r="G92" s="11" t="s">
        <v>99</v>
      </c>
      <c r="H92" s="11" t="s">
        <v>43</v>
      </c>
      <c r="I92" s="11" t="s">
        <v>44</v>
      </c>
      <c r="J92" s="11" t="s">
        <v>5</v>
      </c>
      <c r="K92" s="11" t="s">
        <v>656</v>
      </c>
      <c r="L92" s="11" t="s">
        <v>657</v>
      </c>
      <c r="M92" s="11" t="s">
        <v>47</v>
      </c>
      <c r="N92" s="11" t="s">
        <v>48</v>
      </c>
    </row>
    <row r="93" customFormat="false" ht="21.75" hidden="false" customHeight="true" outlineLevel="0" collapsed="false">
      <c r="A93" s="10" t="s">
        <v>658</v>
      </c>
      <c r="B93" s="11" t="s">
        <v>23</v>
      </c>
      <c r="C93" s="11" t="s">
        <v>659</v>
      </c>
      <c r="D93" s="11" t="s">
        <v>660</v>
      </c>
      <c r="E93" s="11" t="s">
        <v>661</v>
      </c>
      <c r="F93" s="11" t="s">
        <v>662</v>
      </c>
      <c r="G93" s="11" t="s">
        <v>61</v>
      </c>
      <c r="H93" s="11" t="s">
        <v>202</v>
      </c>
      <c r="I93" s="11" t="s">
        <v>168</v>
      </c>
      <c r="J93" s="11" t="s">
        <v>5</v>
      </c>
      <c r="K93" s="11" t="s">
        <v>663</v>
      </c>
      <c r="L93" s="11" t="s">
        <v>664</v>
      </c>
      <c r="M93" s="11" t="s">
        <v>47</v>
      </c>
      <c r="N93" s="11" t="s">
        <v>48</v>
      </c>
    </row>
    <row r="94" customFormat="false" ht="32.25" hidden="false" customHeight="true" outlineLevel="0" collapsed="false">
      <c r="A94" s="10" t="s">
        <v>665</v>
      </c>
      <c r="B94" s="11" t="s">
        <v>23</v>
      </c>
      <c r="C94" s="11" t="s">
        <v>666</v>
      </c>
      <c r="D94" s="11" t="s">
        <v>667</v>
      </c>
      <c r="E94" s="11" t="s">
        <v>668</v>
      </c>
      <c r="F94" s="11" t="s">
        <v>669</v>
      </c>
      <c r="G94" s="11" t="s">
        <v>61</v>
      </c>
      <c r="H94" s="11" t="s">
        <v>202</v>
      </c>
      <c r="I94" s="11" t="s">
        <v>168</v>
      </c>
      <c r="J94" s="11" t="s">
        <v>6</v>
      </c>
      <c r="K94" s="11" t="s">
        <v>670</v>
      </c>
      <c r="L94" s="11" t="s">
        <v>671</v>
      </c>
      <c r="M94" s="11" t="s">
        <v>47</v>
      </c>
      <c r="N94" s="11" t="s">
        <v>48</v>
      </c>
    </row>
    <row r="95" customFormat="false" ht="21.75" hidden="false" customHeight="true" outlineLevel="0" collapsed="false">
      <c r="A95" s="10" t="s">
        <v>672</v>
      </c>
      <c r="B95" s="11" t="s">
        <v>23</v>
      </c>
      <c r="C95" s="11" t="s">
        <v>673</v>
      </c>
      <c r="D95" s="11" t="s">
        <v>674</v>
      </c>
      <c r="E95" s="11" t="s">
        <v>675</v>
      </c>
      <c r="F95" s="11" t="s">
        <v>676</v>
      </c>
      <c r="G95" s="11" t="s">
        <v>61</v>
      </c>
      <c r="H95" s="11" t="s">
        <v>202</v>
      </c>
      <c r="I95" s="11" t="s">
        <v>168</v>
      </c>
      <c r="J95" s="11" t="s">
        <v>5</v>
      </c>
      <c r="K95" s="11" t="s">
        <v>677</v>
      </c>
      <c r="L95" s="11" t="s">
        <v>678</v>
      </c>
      <c r="M95" s="11" t="s">
        <v>47</v>
      </c>
      <c r="N95" s="11" t="s">
        <v>48</v>
      </c>
    </row>
    <row r="96" customFormat="false" ht="21.75" hidden="false" customHeight="true" outlineLevel="0" collapsed="false">
      <c r="A96" s="10" t="s">
        <v>679</v>
      </c>
      <c r="B96" s="11" t="s">
        <v>23</v>
      </c>
      <c r="C96" s="11" t="s">
        <v>680</v>
      </c>
      <c r="D96" s="11" t="s">
        <v>681</v>
      </c>
      <c r="E96" s="11" t="s">
        <v>682</v>
      </c>
      <c r="F96" s="11" t="s">
        <v>683</v>
      </c>
      <c r="G96" s="11" t="s">
        <v>61</v>
      </c>
      <c r="H96" s="11" t="s">
        <v>202</v>
      </c>
      <c r="I96" s="11" t="s">
        <v>168</v>
      </c>
      <c r="J96" s="11" t="s">
        <v>6</v>
      </c>
      <c r="K96" s="11" t="s">
        <v>684</v>
      </c>
      <c r="L96" s="11" t="s">
        <v>685</v>
      </c>
      <c r="M96" s="11" t="s">
        <v>47</v>
      </c>
      <c r="N96" s="11" t="s">
        <v>48</v>
      </c>
    </row>
    <row r="97" customFormat="false" ht="21.75" hidden="false" customHeight="true" outlineLevel="0" collapsed="false">
      <c r="A97" s="10" t="s">
        <v>686</v>
      </c>
      <c r="B97" s="11" t="s">
        <v>23</v>
      </c>
      <c r="C97" s="11" t="s">
        <v>687</v>
      </c>
      <c r="D97" s="11" t="s">
        <v>688</v>
      </c>
      <c r="E97" s="11" t="s">
        <v>689</v>
      </c>
      <c r="F97" s="11" t="s">
        <v>690</v>
      </c>
      <c r="G97" s="11" t="s">
        <v>99</v>
      </c>
      <c r="H97" s="11" t="s">
        <v>202</v>
      </c>
      <c r="I97" s="11" t="s">
        <v>168</v>
      </c>
      <c r="J97" s="11" t="s">
        <v>5</v>
      </c>
      <c r="K97" s="11" t="s">
        <v>691</v>
      </c>
      <c r="L97" s="11" t="s">
        <v>687</v>
      </c>
      <c r="M97" s="11" t="s">
        <v>47</v>
      </c>
      <c r="N97" s="11" t="s">
        <v>48</v>
      </c>
    </row>
    <row r="98" customFormat="false" ht="21.75" hidden="false" customHeight="true" outlineLevel="0" collapsed="false">
      <c r="A98" s="10" t="s">
        <v>692</v>
      </c>
      <c r="B98" s="11" t="s">
        <v>23</v>
      </c>
      <c r="C98" s="11" t="s">
        <v>693</v>
      </c>
      <c r="D98" s="11" t="s">
        <v>694</v>
      </c>
      <c r="E98" s="11" t="s">
        <v>695</v>
      </c>
      <c r="F98" s="11" t="s">
        <v>696</v>
      </c>
      <c r="G98" s="11" t="s">
        <v>99</v>
      </c>
      <c r="H98" s="11" t="s">
        <v>202</v>
      </c>
      <c r="I98" s="11" t="s">
        <v>168</v>
      </c>
      <c r="J98" s="11" t="s">
        <v>5</v>
      </c>
      <c r="K98" s="11" t="s">
        <v>697</v>
      </c>
      <c r="L98" s="11" t="s">
        <v>17</v>
      </c>
      <c r="M98" s="11" t="s">
        <v>47</v>
      </c>
      <c r="N98" s="11" t="s">
        <v>48</v>
      </c>
    </row>
    <row r="99" customFormat="false" ht="21.75" hidden="false" customHeight="true" outlineLevel="0" collapsed="false">
      <c r="A99" s="10" t="s">
        <v>698</v>
      </c>
      <c r="B99" s="11" t="s">
        <v>23</v>
      </c>
      <c r="C99" s="11" t="s">
        <v>699</v>
      </c>
      <c r="D99" s="11" t="s">
        <v>700</v>
      </c>
      <c r="E99" s="11" t="s">
        <v>701</v>
      </c>
      <c r="F99" s="11" t="s">
        <v>702</v>
      </c>
      <c r="G99" s="11" t="s">
        <v>61</v>
      </c>
      <c r="H99" s="11" t="s">
        <v>202</v>
      </c>
      <c r="I99" s="11" t="s">
        <v>168</v>
      </c>
      <c r="J99" s="11" t="s">
        <v>9</v>
      </c>
      <c r="K99" s="11" t="s">
        <v>703</v>
      </c>
      <c r="L99" s="11" t="s">
        <v>704</v>
      </c>
      <c r="M99" s="11" t="s">
        <v>47</v>
      </c>
      <c r="N99" s="11" t="s">
        <v>48</v>
      </c>
    </row>
    <row r="100" customFormat="false" ht="32.25" hidden="false" customHeight="true" outlineLevel="0" collapsed="false">
      <c r="A100" s="10" t="s">
        <v>705</v>
      </c>
      <c r="B100" s="11" t="s">
        <v>23</v>
      </c>
      <c r="C100" s="11" t="s">
        <v>706</v>
      </c>
      <c r="D100" s="11" t="s">
        <v>707</v>
      </c>
      <c r="E100" s="11" t="s">
        <v>708</v>
      </c>
      <c r="F100" s="11" t="s">
        <v>709</v>
      </c>
      <c r="G100" s="11" t="s">
        <v>61</v>
      </c>
      <c r="H100" s="11" t="s">
        <v>202</v>
      </c>
      <c r="I100" s="11" t="s">
        <v>168</v>
      </c>
      <c r="J100" s="11" t="s">
        <v>6</v>
      </c>
      <c r="K100" s="11" t="s">
        <v>710</v>
      </c>
      <c r="L100" s="11" t="s">
        <v>711</v>
      </c>
      <c r="M100" s="11" t="s">
        <v>47</v>
      </c>
      <c r="N100" s="11" t="s">
        <v>48</v>
      </c>
    </row>
    <row r="101" customFormat="false" ht="32.25" hidden="false" customHeight="true" outlineLevel="0" collapsed="false">
      <c r="A101" s="10" t="s">
        <v>712</v>
      </c>
      <c r="B101" s="11" t="s">
        <v>23</v>
      </c>
      <c r="C101" s="11" t="s">
        <v>713</v>
      </c>
      <c r="D101" s="11" t="s">
        <v>714</v>
      </c>
      <c r="E101" s="11" t="s">
        <v>715</v>
      </c>
      <c r="F101" s="11" t="s">
        <v>716</v>
      </c>
      <c r="G101" s="11" t="s">
        <v>99</v>
      </c>
      <c r="H101" s="11" t="s">
        <v>202</v>
      </c>
      <c r="I101" s="11" t="s">
        <v>168</v>
      </c>
      <c r="J101" s="11" t="s">
        <v>6</v>
      </c>
      <c r="K101" s="11" t="s">
        <v>717</v>
      </c>
      <c r="L101" s="11" t="s">
        <v>718</v>
      </c>
      <c r="M101" s="11" t="s">
        <v>47</v>
      </c>
      <c r="N101" s="11" t="s">
        <v>48</v>
      </c>
    </row>
    <row r="102" customFormat="false" ht="21.75" hidden="false" customHeight="true" outlineLevel="0" collapsed="false">
      <c r="A102" s="10" t="s">
        <v>719</v>
      </c>
      <c r="B102" s="11" t="s">
        <v>23</v>
      </c>
      <c r="C102" s="11" t="s">
        <v>720</v>
      </c>
      <c r="D102" s="11" t="s">
        <v>721</v>
      </c>
      <c r="E102" s="11" t="s">
        <v>722</v>
      </c>
      <c r="F102" s="11" t="s">
        <v>723</v>
      </c>
      <c r="G102" s="11" t="s">
        <v>99</v>
      </c>
      <c r="H102" s="11" t="s">
        <v>202</v>
      </c>
      <c r="I102" s="11" t="s">
        <v>168</v>
      </c>
      <c r="J102" s="11" t="s">
        <v>5</v>
      </c>
      <c r="K102" s="11" t="s">
        <v>724</v>
      </c>
      <c r="L102" s="11" t="s">
        <v>725</v>
      </c>
      <c r="M102" s="11" t="s">
        <v>47</v>
      </c>
      <c r="N102" s="11" t="s">
        <v>48</v>
      </c>
    </row>
    <row r="103" customFormat="false" ht="21.75" hidden="false" customHeight="true" outlineLevel="0" collapsed="false">
      <c r="A103" s="10" t="s">
        <v>726</v>
      </c>
      <c r="B103" s="11" t="s">
        <v>24</v>
      </c>
      <c r="C103" s="11" t="s">
        <v>727</v>
      </c>
      <c r="D103" s="11" t="s">
        <v>728</v>
      </c>
      <c r="E103" s="11" t="s">
        <v>729</v>
      </c>
      <c r="F103" s="11" t="s">
        <v>730</v>
      </c>
      <c r="G103" s="11" t="s">
        <v>42</v>
      </c>
      <c r="H103" s="11" t="s">
        <v>62</v>
      </c>
      <c r="I103" s="11" t="s">
        <v>44</v>
      </c>
      <c r="J103" s="11" t="s">
        <v>5</v>
      </c>
      <c r="K103" s="11" t="s">
        <v>731</v>
      </c>
      <c r="L103" s="11"/>
      <c r="M103" s="11" t="s">
        <v>47</v>
      </c>
      <c r="N103" s="11" t="s">
        <v>48</v>
      </c>
    </row>
    <row r="104" customFormat="false" ht="21.75" hidden="false" customHeight="true" outlineLevel="0" collapsed="false">
      <c r="A104" s="10" t="s">
        <v>732</v>
      </c>
      <c r="B104" s="11" t="s">
        <v>24</v>
      </c>
      <c r="C104" s="11" t="s">
        <v>733</v>
      </c>
      <c r="D104" s="11" t="s">
        <v>734</v>
      </c>
      <c r="E104" s="11" t="s">
        <v>735</v>
      </c>
      <c r="F104" s="11" t="s">
        <v>736</v>
      </c>
      <c r="G104" s="11" t="s">
        <v>42</v>
      </c>
      <c r="H104" s="11" t="s">
        <v>62</v>
      </c>
      <c r="I104" s="11" t="s">
        <v>44</v>
      </c>
      <c r="J104" s="11" t="s">
        <v>5</v>
      </c>
      <c r="K104" s="11" t="s">
        <v>737</v>
      </c>
      <c r="L104" s="11" t="s">
        <v>738</v>
      </c>
      <c r="M104" s="11" t="s">
        <v>47</v>
      </c>
      <c r="N104" s="11" t="s">
        <v>48</v>
      </c>
    </row>
    <row r="105" customFormat="false" ht="32.25" hidden="false" customHeight="true" outlineLevel="0" collapsed="false">
      <c r="A105" s="10" t="s">
        <v>739</v>
      </c>
      <c r="B105" s="11" t="s">
        <v>24</v>
      </c>
      <c r="C105" s="11" t="s">
        <v>740</v>
      </c>
      <c r="D105" s="11" t="s">
        <v>741</v>
      </c>
      <c r="E105" s="11" t="s">
        <v>742</v>
      </c>
      <c r="F105" s="11" t="s">
        <v>743</v>
      </c>
      <c r="G105" s="11" t="s">
        <v>42</v>
      </c>
      <c r="H105" s="11" t="s">
        <v>62</v>
      </c>
      <c r="I105" s="11" t="s">
        <v>63</v>
      </c>
      <c r="J105" s="11" t="s">
        <v>5</v>
      </c>
      <c r="K105" s="11" t="s">
        <v>744</v>
      </c>
      <c r="L105" s="11" t="s">
        <v>745</v>
      </c>
      <c r="M105" s="11" t="s">
        <v>47</v>
      </c>
      <c r="N105" s="11" t="s">
        <v>48</v>
      </c>
    </row>
    <row r="106" customFormat="false" ht="21.75" hidden="false" customHeight="true" outlineLevel="0" collapsed="false">
      <c r="A106" s="10" t="s">
        <v>746</v>
      </c>
      <c r="B106" s="11" t="s">
        <v>24</v>
      </c>
      <c r="C106" s="11" t="s">
        <v>747</v>
      </c>
      <c r="D106" s="11" t="s">
        <v>748</v>
      </c>
      <c r="E106" s="11" t="s">
        <v>749</v>
      </c>
      <c r="F106" s="11" t="s">
        <v>750</v>
      </c>
      <c r="G106" s="11" t="s">
        <v>42</v>
      </c>
      <c r="H106" s="11" t="s">
        <v>62</v>
      </c>
      <c r="I106" s="11" t="s">
        <v>63</v>
      </c>
      <c r="J106" s="11" t="s">
        <v>6</v>
      </c>
      <c r="K106" s="11" t="s">
        <v>751</v>
      </c>
      <c r="L106" s="11" t="s">
        <v>752</v>
      </c>
      <c r="M106" s="11" t="s">
        <v>47</v>
      </c>
      <c r="N106" s="11" t="s">
        <v>48</v>
      </c>
    </row>
    <row r="107" customFormat="false" ht="32.25" hidden="false" customHeight="true" outlineLevel="0" collapsed="false">
      <c r="A107" s="10" t="s">
        <v>753</v>
      </c>
      <c r="B107" s="11" t="s">
        <v>24</v>
      </c>
      <c r="C107" s="11" t="s">
        <v>754</v>
      </c>
      <c r="D107" s="11" t="s">
        <v>755</v>
      </c>
      <c r="E107" s="11" t="s">
        <v>756</v>
      </c>
      <c r="F107" s="11" t="s">
        <v>757</v>
      </c>
      <c r="G107" s="11" t="s">
        <v>61</v>
      </c>
      <c r="H107" s="11" t="s">
        <v>62</v>
      </c>
      <c r="I107" s="11" t="s">
        <v>758</v>
      </c>
      <c r="J107" s="11" t="s">
        <v>5</v>
      </c>
      <c r="K107" s="11" t="s">
        <v>759</v>
      </c>
      <c r="L107" s="11"/>
      <c r="M107" s="11" t="s">
        <v>47</v>
      </c>
      <c r="N107" s="11" t="s">
        <v>48</v>
      </c>
    </row>
    <row r="108" customFormat="false" ht="21.75" hidden="false" customHeight="true" outlineLevel="0" collapsed="false">
      <c r="A108" s="10" t="s">
        <v>760</v>
      </c>
      <c r="B108" s="11" t="s">
        <v>24</v>
      </c>
      <c r="C108" s="11" t="s">
        <v>761</v>
      </c>
      <c r="D108" s="11" t="s">
        <v>762</v>
      </c>
      <c r="E108" s="11" t="s">
        <v>763</v>
      </c>
      <c r="F108" s="11" t="s">
        <v>764</v>
      </c>
      <c r="G108" s="11" t="s">
        <v>99</v>
      </c>
      <c r="H108" s="11" t="s">
        <v>62</v>
      </c>
      <c r="I108" s="11" t="s">
        <v>44</v>
      </c>
      <c r="J108" s="11" t="s">
        <v>5</v>
      </c>
      <c r="K108" s="11" t="s">
        <v>765</v>
      </c>
      <c r="L108" s="11" t="s">
        <v>766</v>
      </c>
      <c r="M108" s="11" t="s">
        <v>47</v>
      </c>
      <c r="N108" s="11" t="s">
        <v>48</v>
      </c>
    </row>
  </sheetData>
  <autoFilter ref="A1:N108"/>
  <conditionalFormatting sqref="J2:J108">
    <cfRule type="expression" priority="2" aboveAverage="0" equalAverage="0" bottom="0" percent="0" rank="0" text="" dxfId="6">
      <formula>LEFT($J2,8)="Aprobado"</formula>
    </cfRule>
    <cfRule type="expression" priority="3" aboveAverage="0" equalAverage="0" bottom="0" percent="0" rank="0" text="" dxfId="7">
      <formula>LEFT($J2,9)="Corregido"</formula>
    </cfRule>
    <cfRule type="expression" priority="4" aboveAverage="0" equalAverage="0" bottom="0" percent="0" rank="0" text="" dxfId="8">
      <formula>LEFT($J2,7)="Fallido"</formula>
    </cfRule>
    <cfRule type="expression" priority="5" aboveAverage="0" equalAverage="0" bottom="0" percent="0" rank="0" text="" dxfId="9">
      <formula>LEFT($J2,12)="No ejecutado"</formula>
    </cfRule>
  </conditionalFormatting>
  <dataValidations count="1">
    <dataValidation allowBlank="true" errorStyle="stop" operator="between" showDropDown="false" showErrorMessage="false" showInputMessage="false" sqref="J2:J108" type="list">
      <formula1>"Aprobado,Corregido,Corregido (falta ejecutar SQL 05),Fallido,No ejecutado"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2026-10-12T23:38:11Z</dcterms:created>
  <dc:creator>openpyxl</dc:creator>
  <dc:description/>
  <dc:language>en-US</dc:language>
  <cp:lastModifiedBy/>
  <dcterms:modified xsi:type="dcterms:W3CDTF">2026-10-12T23:57:49Z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